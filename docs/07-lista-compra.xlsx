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E8FB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1"/>
    <xf numFmtId="4" fontId="0" fillId="0" borderId="0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ectronicaembajadores.com/es/Productos/Detalle/LCINDD7/" TargetMode="External" Id="rId1"/><Relationship Type="http://schemas.openxmlformats.org/officeDocument/2006/relationships/hyperlink" Target="https://opencircuit.es/producto/gravity-analog-signal-isolator" TargetMode="External" Id="rId2"/><Relationship Type="http://schemas.openxmlformats.org/officeDocument/2006/relationships/hyperlink" Target="https://www.electronicaembajadores.com/es/Productos/Detalle/LCHR006/" TargetMode="External" Id="rId3"/><Relationship Type="http://schemas.openxmlformats.org/officeDocument/2006/relationships/hyperlink" Target="https://www.electan.com/pololu-25a-stepdown-voltage-regulator-d24v25f5-p-6473.html" TargetMode="External" Id="rId4"/><Relationship Type="http://schemas.openxmlformats.org/officeDocument/2006/relationships/hyperlink" Target="https://www.electronicaembajadores.com/es/Productos/Detalle/SMTRIRF4905/" TargetMode="External" Id="rId5"/><Relationship Type="http://schemas.openxmlformats.org/officeDocument/2006/relationships/hyperlink" Target="https://www.amazon.es/s?k=AO3401+SOT-23" TargetMode="External" Id="rId6"/><Relationship Type="http://schemas.openxmlformats.org/officeDocument/2006/relationships/hyperlink" Target="https://www.electronicaembajadores.com/es/Productos/Detalle/CN15006/" TargetMode="External" Id="rId7"/><Relationship Type="http://schemas.openxmlformats.org/officeDocument/2006/relationships/hyperlink" Target="https://www.electronicaembajadores.com/es/Productos/Detalle/SMTRBC547C/" TargetMode="External" Id="rId8"/><Relationship Type="http://schemas.openxmlformats.org/officeDocument/2006/relationships/hyperlink" Target="https://www.turibot.es/mosfet-irlz44n-49a-55v-5uds" TargetMode="External" Id="rId9"/><Relationship Type="http://schemas.openxmlformats.org/officeDocument/2006/relationships/hyperlink" Target="https://www.electronicaembajadores.com/es/Productos/Detalle/SMDI1N5819/" TargetMode="External" Id="rId10"/><Relationship Type="http://schemas.openxmlformats.org/officeDocument/2006/relationships/hyperlink" Target="https://leantec.es/tienda/lote-kit-600-resistencias-1-4w-1-30-valores/" TargetMode="External" Id="rId11"/><Relationship Type="http://schemas.openxmlformats.org/officeDocument/2006/relationships/hyperlink" Target="https://leantec.es/tienda/resistencia-22-kohm-1-4w-0-25w-pelicula-metalica-1/" TargetMode="External" Id="rId12"/><Relationship Type="http://schemas.openxmlformats.org/officeDocument/2006/relationships/hyperlink" Target="https://www.tiendatec.es/electronica/placas-de-prototipo/placas/891-placa-pcb-prototipos-doble-cara-9x15cm-8472496014496.html" TargetMode="External" Id="rId13"/><Relationship Type="http://schemas.openxmlformats.org/officeDocument/2006/relationships/hyperlink" Target="https://www.electronicaembajadores.com/es/Productos/Detalle/CTO1HR40/" TargetMode="External" Id="rId14"/><Relationship Type="http://schemas.openxmlformats.org/officeDocument/2006/relationships/hyperlink" Target="https://www.electronicaembajadores.com/es/Productos/Detalle/CTO1MR40/" TargetMode="External" Id="rId15"/><Relationship Type="http://schemas.openxmlformats.org/officeDocument/2006/relationships/hyperlink" Target="https://www.electronicaembajadores.com/es/Productos/Detalle/CTNA5102/" TargetMode="External" Id="rId16"/><Relationship Type="http://schemas.openxmlformats.org/officeDocument/2006/relationships/hyperlink" Target="https://www.electronicaembajadores.com/es/Productos/Detalle/CTNA5103/" TargetMode="External" Id="rId17"/><Relationship Type="http://schemas.openxmlformats.org/officeDocument/2006/relationships/hyperlink" Target="https://opencircuit.es/producto/gravity-analog-sensor-cable-arduino-50cm-10" TargetMode="External" Id="rId18"/><Relationship Type="http://schemas.openxmlformats.org/officeDocument/2006/relationships/hyperlink" Target="https://www.tiendatec.es/maker-zone/comunicaciones-redes/2762-seeed-kit-antena-lorawan-para-wm1302.html" TargetMode="External" Id="rId19"/><Relationship Type="http://schemas.openxmlformats.org/officeDocument/2006/relationships/hyperlink" Target="https://www.electronicaembajadores.com/es/Productos/Detalle/CXRF001/" TargetMode="External" Id="rId20"/><Relationship Type="http://schemas.openxmlformats.org/officeDocument/2006/relationships/hyperlink" Target="https://www.electronicaembajadores.com/es/Productos/Detalle/CX313101/" TargetMode="External" Id="rId21"/><Relationship Type="http://schemas.openxmlformats.org/officeDocument/2006/relationships/hyperlink" Target="https://www.electronicaembajadores.com/es/Productos/Detalle/CJ41G712/" TargetMode="External" Id="rId22"/><Relationship Type="http://schemas.openxmlformats.org/officeDocument/2006/relationships/hyperlink" Target="https://www.electronicaembajadores.com/es/Productos/Detalle/CJ41D09/" TargetMode="External" Id="rId23"/><Relationship Type="http://schemas.openxmlformats.org/officeDocument/2006/relationships/hyperlink" Target="https://www.amazon.es/s?k=tap%C3%B3n+ventilaci%C3%B3n+M12x1.5+IP68+membrana" TargetMode="External" Id="rId24"/><Relationship Type="http://schemas.openxmlformats.org/officeDocument/2006/relationships/hyperlink" Target="https://www.electronicaembajadores.com/es/Productos/Detalle/CTEAMB4/" TargetMode="External" Id="rId25"/><Relationship Type="http://schemas.openxmlformats.org/officeDocument/2006/relationships/hyperlink" Target="https://www.electronicaembajadores.com/es/Productos/Detalle/CTEAHA4/" TargetMode="External" Id="rId26"/><Relationship Type="http://schemas.openxmlformats.org/officeDocument/2006/relationships/hyperlink" Target="https://www.electronicaembajadores.com/es/Productos/Detalle/CTEAMB2/" TargetMode="External" Id="rId27"/><Relationship Type="http://schemas.openxmlformats.org/officeDocument/2006/relationships/hyperlink" Target="https://www.electronicaembajadores.com/es/Productos/Detalle/CTEAHA2/" TargetMode="External" Id="rId28"/><Relationship Type="http://schemas.openxmlformats.org/officeDocument/2006/relationships/hyperlink" Target="https://www.electronicaembajadores.com/es/Productos/Detalle/CTEAMB3/" TargetMode="External" Id="rId29"/><Relationship Type="http://schemas.openxmlformats.org/officeDocument/2006/relationships/hyperlink" Target="https://www.electronicaembajadores.com/es/Productos/Detalle/CTEAHA3/" TargetMode="External" Id="rId30"/><Relationship Type="http://schemas.openxmlformats.org/officeDocument/2006/relationships/hyperlink" Target="https://www.electronicaembajadores.com/es/Productos/Detalle/CT2A703/" TargetMode="External" Id="rId31"/><Relationship Type="http://schemas.openxmlformats.org/officeDocument/2006/relationships/hyperlink" Target="https://www.electronicaembajadores.com/es/Productos/Detalle/CC2APG09N/" TargetMode="External" Id="rId32"/><Relationship Type="http://schemas.openxmlformats.org/officeDocument/2006/relationships/hyperlink" Target="https://www.electronicaembajadores.com/es/Productos/Detalle/CC2APG11N/" TargetMode="External" Id="rId33"/><Relationship Type="http://schemas.openxmlformats.org/officeDocument/2006/relationships/hyperlink" Target="https://www.electricidad.tienda/cable-apantallado/manguera-apantallada-4x05-mm2-libre-de-halogenos-rc4z1-k-por-metros-7372.html" TargetMode="External" Id="rId34"/><Relationship Type="http://schemas.openxmlformats.org/officeDocument/2006/relationships/hyperlink" Target="https://www.electronicaembajadores.com/es/Productos/Detalle/CA2A011/" TargetMode="External" Id="rId35"/><Relationship Type="http://schemas.openxmlformats.org/officeDocument/2006/relationships/hyperlink" Target="https://www.electronicaembajadores.com/es/Productos/Detalle/CA2A213/" TargetMode="External" Id="rId36"/><Relationship Type="http://schemas.openxmlformats.org/officeDocument/2006/relationships/hyperlink" Target="https://www.electronicaembajadores.com/es/Productos/Detalle/HR11060/" TargetMode="External" Id="rId37"/><Relationship Type="http://schemas.openxmlformats.org/officeDocument/2006/relationships/hyperlink" Target="https://www.bolaseca.com/es/productos/silica-gel/silica-gel-100-bolsitas-de-10-gramos" TargetMode="External" Id="rId38"/><Relationship Type="http://schemas.openxmlformats.org/officeDocument/2006/relationships/hyperlink" Target="https://www.electronicaembajadores.com/es/Productos/Detalle/SG2A101N/" TargetMode="External" Id="rId39"/><Relationship Type="http://schemas.openxmlformats.org/officeDocument/2006/relationships/hyperlink" Target="https://ricardoteransl.es/producto/bidon-gris-60-l/" TargetMode="External" Id="rId40"/><Relationship Type="http://schemas.openxmlformats.org/officeDocument/2006/relationships/hyperlink" Target="https://www.amazon.es/s?k=DC40A-1230" TargetMode="External" Id="rId41"/><Relationship Type="http://schemas.openxmlformats.org/officeDocument/2006/relationships/hyperlink" Target="https://www.traxco.es/tienda/filtro-laton" TargetMode="External" Id="rId42"/><Relationship Type="http://schemas.openxmlformats.org/officeDocument/2006/relationships/hyperlink" Target="https://tienda.bricogeek.com/otros-sensores/936-sensor-de-flujo-yf-s201.html" TargetMode="External" Id="rId43"/><Relationship Type="http://schemas.openxmlformats.org/officeDocument/2006/relationships/hyperlink" Target="https://www.fuentejardin.com/valvulas-de-esfera-pvc-rh/388-valvula-de-esfera-pvc-12-rosca-hembra.html" TargetMode="External" Id="rId44"/><Relationship Type="http://schemas.openxmlformats.org/officeDocument/2006/relationships/hyperlink" Target="https://www.suministrosurquiza.com/metro-manguera-cristal-reforzada" TargetMode="External" Id="rId45"/><Relationship Type="http://schemas.openxmlformats.org/officeDocument/2006/relationships/hyperlink" Target="https://www.fuentejardin.com/entronque-manguera-macho-laton/2263-entronque-manguera-macho-laton-14mmx12.html" TargetMode="External" Id="rId46"/><Relationship Type="http://schemas.openxmlformats.org/officeDocument/2006/relationships/hyperlink" Target="https://www.fuentejardin.com/racor-2-piezas-manguera-hembra/2269-racor-2-piezas-manguera-h-laton-14mmx12.html" TargetMode="External" Id="rId47"/><Relationship Type="http://schemas.openxmlformats.org/officeDocument/2006/relationships/hyperlink" Target="https://agrogomasonline.com/sin-fin-inox/8279-abrazaderas-sinfin-inox-w4-12-22-l.html" TargetMode="External" Id="rId48"/><Relationship Type="http://schemas.openxmlformats.org/officeDocument/2006/relationships/hyperlink" Target="https://www.fuentejardin.com/cinta-de-sellado/383-cinta-de-sellado-12-mm-x-12-m-x-01-mm.html" TargetMode="External" Id="rId49"/><Relationship Type="http://schemas.openxmlformats.org/officeDocument/2006/relationships/hyperlink" Target="https://www.esteba.com/es/perfil-pletina-plana-aluminio" TargetMode="External" Id="rId50"/><Relationship Type="http://schemas.openxmlformats.org/officeDocument/2006/relationships/hyperlink" Target="https://www.electronicaembajadores.com/es/Productos/Detalle/CC2APG16/" TargetMode="External" Id="rId51"/><Relationship Type="http://schemas.openxmlformats.org/officeDocument/2006/relationships/hyperlink" Target="https://www.electronicaembajadores.com/es/Productos/Detalle/CC2APG21/" TargetMode="External" Id="rId52"/><Relationship Type="http://schemas.openxmlformats.org/officeDocument/2006/relationships/hyperlink" Target="https://www.electronicaembajadores.com/es/Productos/Detalle/CC2APG13/" TargetMode="External" Id="rId53"/><Relationship Type="http://schemas.openxmlformats.org/officeDocument/2006/relationships/hyperlink" Target="https://entaban.es/hexagonales/138-tornillo-hexagonal-din-933-inoxidable-a2.html" TargetMode="External" Id="rId54"/><Relationship Type="http://schemas.openxmlformats.org/officeDocument/2006/relationships/hyperlink" Target="https://entaban.es/autoblocantes/164-tuerca-autoblocante-din-985-inoxidable-a2.html" TargetMode="External" Id="rId55"/><Relationship Type="http://schemas.openxmlformats.org/officeDocument/2006/relationships/hyperlink" Target="https://terralba.es/toldos-y-sombra/5454-toldo-vela-sombra-36x36-beige-8435450468308.html" TargetMode="External" Id="rId56"/><Relationship Type="http://schemas.openxmlformats.org/officeDocument/2006/relationships/hyperlink" Target="https://solarmat.es/es/paneles-solares-12v/panel-solar-monocristalino-12v-50w-victron.html" TargetMode="External" Id="rId57"/><Relationship Type="http://schemas.openxmlformats.org/officeDocument/2006/relationships/hyperlink" Target="https://www.damiasolar.com/estructura-para-panel-solar-regulable-30-a-60-grados.html" TargetMode="External" Id="rId58"/><Relationship Type="http://schemas.openxmlformats.org/officeDocument/2006/relationships/hyperlink" Target="https://www.andupil.com/es/baterias-para-alumbrado-de-emergencia-y-senalizacion/19144-bateria-de-litio-128v-20ah-256wh-lifepo4-firstpower-fpli1220ah.html" TargetMode="External" Id="rId59"/><Relationship Type="http://schemas.openxmlformats.org/officeDocument/2006/relationships/hyperlink" Target="https://www.damiasolar.com/regulador-victron-mppt-smartsolar-75-10.html" TargetMode="External" Id="rId60"/><Relationship Type="http://schemas.openxmlformats.org/officeDocument/2006/relationships/hyperlink" Target="https://www.electronicaembajadores.com/es/Productos/Detalle/FU5A011/" TargetMode="External" Id="rId61"/><Relationship Type="http://schemas.openxmlformats.org/officeDocument/2006/relationships/hyperlink" Target="https://www.electronicaembajadores.com/es/Productos/Detalle/FUAUM502/" TargetMode="External" Id="rId62"/><Relationship Type="http://schemas.openxmlformats.org/officeDocument/2006/relationships/hyperlink" Target="https://www.electronicaembajadores.com/es/Productos/Detalle/FUAUM302/" TargetMode="External" Id="rId63"/><Relationship Type="http://schemas.openxmlformats.org/officeDocument/2006/relationships/hyperlink" Target="https://cuencasolar.es/producto/desconectador-de-baterias-300a/" TargetMode="External" Id="rId64"/><Relationship Type="http://schemas.openxmlformats.org/officeDocument/2006/relationships/hyperlink" Target="https://solarmat.es/es/Cable-solar/metro-cable-solar-4mm2.html" TargetMode="External" Id="rId65"/><Relationship Type="http://schemas.openxmlformats.org/officeDocument/2006/relationships/hyperlink" Target="https://solarmat.es/es/Conector-solar/par-de-conectores-solares-macho-y-hembra.html" TargetMode="External" Id="rId66"/><Relationship Type="http://schemas.openxmlformats.org/officeDocument/2006/relationships/hyperlink" Target="https://www.electronicaembajadores.com/en/Productos/Detalle/CA5A2PV22/" TargetMode="External" Id="rId67"/><Relationship Type="http://schemas.openxmlformats.org/officeDocument/2006/relationships/hyperlink" Target="https://www.electronicaembajadores.com/en/Productos/Detalle/CA5A2PV21/" TargetMode="External" Id="rId68"/><Relationship Type="http://schemas.openxmlformats.org/officeDocument/2006/relationships/hyperlink" Target="https://www.electronicaembajadores.com/en/Productos/Detalle/CTV1R27-25/" TargetMode="External" Id="rId69"/><Relationship Type="http://schemas.openxmlformats.org/officeDocument/2006/relationships/hyperlink" Target="https://www.electronicaembajadores.com/en/Productos/Detalle/CTV1010/" TargetMode="External" Id="rId70"/><Relationship Type="http://schemas.openxmlformats.org/officeDocument/2006/relationships/hyperlink" Target="https://todoelectrico.es/es/bridas-100-ud-negra-4-8x188mm-u2244-0.html" TargetMode="External" Id="rId71"/><Relationship Type="http://schemas.openxmlformats.org/officeDocument/2006/relationships/hyperlink" Target="https://bricoelige.com/pica-acero-cobre-100-micras-15-metros" TargetMode="External" Id="rId72"/><Relationship Type="http://schemas.openxmlformats.org/officeDocument/2006/relationships/hyperlink" Target="https://bricoelige.com/grapa-toma-tierra-tgt142-sofamel" TargetMode="External" Id="rId73"/><Relationship Type="http://schemas.openxmlformats.org/officeDocument/2006/relationships/hyperlink" Target="https://solarmat.es/es/Cable-solar/metro-cable-solar-6mm2.html" TargetMode="External" Id="rId74"/><Relationship Type="http://schemas.openxmlformats.org/officeDocument/2006/relationships/hyperlink" Target="https://www.electronicaembajadores.com/es/Productos/Detalle/CTV1R45-25/" TargetMode="External" Id="rId75"/><Relationship Type="http://schemas.openxmlformats.org/officeDocument/2006/relationships/hyperlink" Target="https://www.kubii.com/es/baterias-pilas/4110-bateria-rtc-para-raspberry-pi-5-5056561803739.html" TargetMode="External" Id="rId76"/><Relationship Type="http://schemas.openxmlformats.org/officeDocument/2006/relationships/hyperlink" Target="https://www.kubii.com/es/fuentes-de-alimentacion/4107-1890-fuente-de-alimentacion-raspberry-pi-27w-usb-c-3272496315761.html" TargetMode="External" Id="rId77"/><Relationship Type="http://schemas.openxmlformats.org/officeDocument/2006/relationships/hyperlink" Target="https://www.kubii.com/es/ventiladores-disipadores-de-calor/4109-ventilador-disipador-para-raspberry-pi-5-5056561803357.html" TargetMode="External" Id="rId78"/><Relationship Type="http://schemas.openxmlformats.org/officeDocument/2006/relationships/hyperlink" Target="https://www.electronicaembajadores.com/es/Productos/Detalle/CX3A601/" TargetMode="External" Id="rId79"/><Relationship Type="http://schemas.openxmlformats.org/officeDocument/2006/relationships/hyperlink" Target="https://www.discoazul.com/sai-linea-interactiva-salicru-sps-500-one-v2-500va-240w-2-schuko.html" TargetMode="External" Id="rId80"/><Relationship Type="http://schemas.openxmlformats.org/officeDocument/2006/relationships/hyperlink" Target="https://www.hannainst.es/parametros/5096-solucion-tampon-ph-401.html" TargetMode="External" Id="rId81"/><Relationship Type="http://schemas.openxmlformats.org/officeDocument/2006/relationships/hyperlink" Target="https://www.hannainst.es/parametros/5099-solucion-tampon-ph-701.html" TargetMode="External" Id="rId82"/><Relationship Type="http://schemas.openxmlformats.org/officeDocument/2006/relationships/hyperlink" Target="https://www.hannainst.es/parametros/5095-solucion-tampon-ph-1001.html" TargetMode="External" Id="rId83"/><Relationship Type="http://schemas.openxmlformats.org/officeDocument/2006/relationships/hyperlink" Target="https://www.hannainst.es/parametros/4974-solucion-almacenamiento-electrodos.html" TargetMode="External" Id="rId84"/><Relationship Type="http://schemas.openxmlformats.org/officeDocument/2006/relationships/hyperlink" Target="https://www.daselab.es/vasos-de-vidrio/198-vaso-precipitado-forma-baja-100-ml.html" TargetMode="External" Id="rId85"/><Relationship Type="http://schemas.openxmlformats.org/officeDocument/2006/relationships/hyperlink" Target="https://www.daselab.es/labware/3156-escobillon-n-40-ptubos-medianos.html" TargetMode="External" Id="rId86"/><Relationship Type="http://schemas.openxmlformats.org/officeDocument/2006/relationships/hyperlink" Target="https://www.electronicaembajadores.com/es/Productos/Detalle/IPDDAM5/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55" customWidth="1" min="3" max="3"/>
    <col width="24" customWidth="1" min="4" max="4"/>
    <col width="50" customWidth="1" min="5" max="5"/>
    <col width="10" customWidth="1" min="6" max="6"/>
    <col width="8" customWidth="1" min="7" max="7"/>
    <col width="10" customWidth="1" min="8" max="8"/>
    <col width="60" customWidth="1" min="9" max="9"/>
  </cols>
  <sheetData>
    <row r="1">
      <c r="A1" s="1" t="inlineStr">
        <is>
          <t>Lista de compra — TFG Calidad del agua (CPIFP Los Viveros)</t>
        </is>
      </c>
    </row>
    <row r="2">
      <c r="A2" t="inlineStr">
        <is>
          <t>Precios en euros con IVA. Enlaces comprobados el 29-30/09/2026.</t>
        </is>
      </c>
    </row>
    <row r="4">
      <c r="A4" s="2" t="inlineStr">
        <is>
          <t>Bloque</t>
        </is>
      </c>
      <c r="B4" s="2" t="inlineStr">
        <is>
          <t>Cant.</t>
        </is>
      </c>
      <c r="C4" s="2" t="inlineStr">
        <is>
          <t>Artículo</t>
        </is>
      </c>
      <c r="D4" s="2" t="inlineStr">
        <is>
          <t>Tienda</t>
        </is>
      </c>
      <c r="E4" s="2" t="inlineStr">
        <is>
          <t>Enlace</t>
        </is>
      </c>
      <c r="F4" s="2" t="inlineStr">
        <is>
          <t>Precio ud.</t>
        </is>
      </c>
      <c r="G4" s="2" t="inlineStr">
        <is>
          <t>Moneda</t>
        </is>
      </c>
      <c r="H4" s="2" t="inlineStr">
        <is>
          <t>Subtotal</t>
        </is>
      </c>
      <c r="I4" s="2" t="inlineStr">
        <is>
          <t>Notas</t>
        </is>
      </c>
    </row>
    <row r="5">
      <c r="A5" t="inlineStr">
        <is>
          <t>1. Electrónica del nodo</t>
        </is>
      </c>
      <c r="B5" t="n">
        <v>1</v>
      </c>
      <c r="C5" t="inlineStr">
        <is>
          <t>ADC 16 bits I2C ADS1115 Adafruit (STEMMA QT)</t>
        </is>
      </c>
      <c r="D5" t="inlineStr">
        <is>
          <t>Electrónica Embajadores</t>
        </is>
      </c>
      <c r="E5" s="3" t="inlineStr">
        <is>
          <t>https://www.electronicaembajadores.com/es/Productos/Detalle/LCINDD7/</t>
        </is>
      </c>
      <c r="F5" s="4" t="n">
        <v>21.63</v>
      </c>
      <c r="G5" t="inlineStr">
        <is>
          <t>EUR</t>
        </is>
      </c>
      <c r="H5" s="4">
        <f>B5*F5</f>
        <v/>
      </c>
      <c r="I5" t="inlineStr">
        <is>
          <t>Mismo chip y dirección 0x48 (ADDR a GND); se conecta por pines a la placa base</t>
        </is>
      </c>
    </row>
    <row r="6">
      <c r="A6" t="inlineStr">
        <is>
          <t>1. Electrónica del nodo</t>
        </is>
      </c>
      <c r="B6" t="n">
        <v>1</v>
      </c>
      <c r="C6" t="inlineStr">
        <is>
          <t>Aislador de señal analógica Gravity DFRobot (DFR0504)</t>
        </is>
      </c>
      <c r="D6" t="inlineStr">
        <is>
          <t>Opencircuit</t>
        </is>
      </c>
      <c r="E6" s="3" t="inlineStr">
        <is>
          <t>https://opencircuit.es/producto/gravity-analog-signal-isolator</t>
        </is>
      </c>
      <c r="F6" s="4" t="n">
        <v>29.5</v>
      </c>
      <c r="G6" t="inlineStr">
        <is>
          <t>EUR</t>
        </is>
      </c>
      <c r="H6" s="4">
        <f>B6*F6</f>
        <v/>
      </c>
      <c r="I6" t="inlineStr">
        <is>
          <t>Trae 2 cables PH2.0. Tienda en español con precios en euros; envío a España desde 12,50 € (gratis desde 150 €)</t>
        </is>
      </c>
    </row>
    <row r="7">
      <c r="A7" t="inlineStr">
        <is>
          <t>1. Electrónica del nodo</t>
        </is>
      </c>
      <c r="B7" t="n">
        <v>1</v>
      </c>
      <c r="C7" t="inlineStr">
        <is>
          <t>Adaptador RS485-UART aislado Gravity (DFR0845)</t>
        </is>
      </c>
      <c r="D7" t="inlineStr">
        <is>
          <t>Electrónica Embajadores</t>
        </is>
      </c>
      <c r="E7" s="3" t="inlineStr">
        <is>
          <t>https://www.electronicaembajadores.com/es/Productos/Detalle/LCHR006/</t>
        </is>
      </c>
      <c r="F7" s="4" t="n">
        <v>36.14</v>
      </c>
      <c r="G7" t="inlineStr">
        <is>
          <t>EUR</t>
        </is>
      </c>
      <c r="H7" s="4">
        <f>B7*F7</f>
        <v/>
      </c>
    </row>
    <row r="8">
      <c r="A8" t="inlineStr">
        <is>
          <t>1. Electrónica del nodo</t>
        </is>
      </c>
      <c r="B8" t="n">
        <v>1</v>
      </c>
      <c r="C8" t="inlineStr">
        <is>
          <t>Convertidor DC-DC 12 V a 5 V 2,5 A Pololu D24V25F5 (reposo &lt; 1 mA)</t>
        </is>
      </c>
      <c r="D8" t="inlineStr">
        <is>
          <t>Electan</t>
        </is>
      </c>
      <c r="E8" s="3" t="inlineStr">
        <is>
          <t>https://www.electan.com/pololu-25a-stepdown-voltage-regulator-d24v25f5-p-6473.html</t>
        </is>
      </c>
      <c r="F8" s="4" t="n">
        <v>29.26</v>
      </c>
      <c r="G8" t="inlineStr">
        <is>
          <t>EUR</t>
        </is>
      </c>
      <c r="H8" s="4">
        <f>B8*F8</f>
        <v/>
      </c>
    </row>
    <row r="9">
      <c r="A9" t="inlineStr">
        <is>
          <t>1. Electrónica del nodo</t>
        </is>
      </c>
      <c r="B9" t="n">
        <v>1</v>
      </c>
      <c r="C9" t="inlineStr">
        <is>
          <t>MOSFET P IRF4905 (conmutador 12 V)</t>
        </is>
      </c>
      <c r="D9" t="inlineStr">
        <is>
          <t>Electrónica Embajadores</t>
        </is>
      </c>
      <c r="E9" s="3" t="inlineStr">
        <is>
          <t>https://www.electronicaembajadores.com/es/Productos/Detalle/SMTRIRF4905/</t>
        </is>
      </c>
      <c r="F9" s="4" t="n">
        <v>1.28</v>
      </c>
      <c r="G9" t="inlineStr">
        <is>
          <t>EUR</t>
        </is>
      </c>
      <c r="H9" s="4">
        <f>B9*F9</f>
        <v/>
      </c>
      <c r="I9" t="inlineStr">
        <is>
          <t>Sustituye al IRF9540N, que está sin stock</t>
        </is>
      </c>
    </row>
    <row r="10">
      <c r="A10" t="inlineStr">
        <is>
          <t>1. Electrónica del nodo</t>
        </is>
      </c>
      <c r="B10" t="n">
        <v>1</v>
      </c>
      <c r="C10" t="inlineStr">
        <is>
          <t>MOSFET P AO3401 SOT-23 (conmutador 5 V)</t>
        </is>
      </c>
      <c r="D10" t="inlineStr">
        <is>
          <t>Amazon.es (búsqueda)</t>
        </is>
      </c>
      <c r="E10" s="3" t="inlineStr">
        <is>
          <t>https://www.amazon.es/s?k=AO3401+SOT-23</t>
        </is>
      </c>
      <c r="F10" s="4" t="n"/>
      <c r="G10" t="inlineStr">
        <is>
          <t>EUR</t>
        </is>
      </c>
      <c r="H10" s="4" t="n"/>
      <c r="I10" t="inlineStr">
        <is>
          <t>SIN VERIFICAR: Amazon no deja comprobarlo. Suele venir en lotes</t>
        </is>
      </c>
    </row>
    <row r="11">
      <c r="A11" t="inlineStr">
        <is>
          <t>1. Electrónica del nodo</t>
        </is>
      </c>
      <c r="B11" t="n">
        <v>1</v>
      </c>
      <c r="C11" t="inlineStr">
        <is>
          <t>Adaptador SOT-23 a DIP para el AO3401</t>
        </is>
      </c>
      <c r="D11" t="inlineStr">
        <is>
          <t>Electrónica Embajadores</t>
        </is>
      </c>
      <c r="E11" s="3" t="inlineStr">
        <is>
          <t>https://www.electronicaembajadores.com/es/Productos/Detalle/CN15006/</t>
        </is>
      </c>
      <c r="F11" s="4" t="n">
        <v>0.61</v>
      </c>
      <c r="G11" t="inlineStr">
        <is>
          <t>EUR</t>
        </is>
      </c>
      <c r="H11" s="4">
        <f>B11*F11</f>
        <v/>
      </c>
    </row>
    <row r="12">
      <c r="A12" t="inlineStr">
        <is>
          <t>1. Electrónica del nodo</t>
        </is>
      </c>
      <c r="B12" t="n">
        <v>2</v>
      </c>
      <c r="C12" t="inlineStr">
        <is>
          <t>Transistor NPN BC547C</t>
        </is>
      </c>
      <c r="D12" t="inlineStr">
        <is>
          <t>Electrónica Embajadores</t>
        </is>
      </c>
      <c r="E12" s="3" t="inlineStr">
        <is>
          <t>https://www.electronicaembajadores.com/es/Productos/Detalle/SMTRBC547C/</t>
        </is>
      </c>
      <c r="F12" s="4" t="n">
        <v>0.29</v>
      </c>
      <c r="G12" t="inlineStr">
        <is>
          <t>EUR</t>
        </is>
      </c>
      <c r="H12" s="4">
        <f>B12*F12</f>
        <v/>
      </c>
    </row>
    <row r="13">
      <c r="A13" t="inlineStr">
        <is>
          <t>1. Electrónica del nodo</t>
        </is>
      </c>
      <c r="B13" t="n">
        <v>1</v>
      </c>
      <c r="C13" t="inlineStr">
        <is>
          <t>MOSFET N nivel lógico IRLZ44N (bomba)</t>
        </is>
      </c>
      <c r="D13" t="inlineStr">
        <is>
          <t>Turibot</t>
        </is>
      </c>
      <c r="E13" s="3" t="inlineStr">
        <is>
          <t>https://www.turibot.es/mosfet-irlz44n-49a-55v-5uds</t>
        </is>
      </c>
      <c r="F13" s="4" t="n">
        <v>0.84</v>
      </c>
      <c r="G13" t="inlineStr">
        <is>
          <t>EUR</t>
        </is>
      </c>
      <c r="H13" s="4">
        <f>B13*F13</f>
        <v/>
      </c>
      <c r="I13" t="inlineStr">
        <is>
          <t>Confirmar si el precio es por unidad o por lote</t>
        </is>
      </c>
    </row>
    <row r="14">
      <c r="A14" t="inlineStr">
        <is>
          <t>1. Electrónica del nodo</t>
        </is>
      </c>
      <c r="B14" t="n">
        <v>1</v>
      </c>
      <c r="C14" t="inlineStr">
        <is>
          <t>Diodo Schottky 1N5819</t>
        </is>
      </c>
      <c r="D14" t="inlineStr">
        <is>
          <t>Electrónica Embajadores</t>
        </is>
      </c>
      <c r="E14" s="3" t="inlineStr">
        <is>
          <t>https://www.electronicaembajadores.com/es/Productos/Detalle/SMDI1N5819/</t>
        </is>
      </c>
      <c r="F14" s="4" t="n">
        <v>0.28</v>
      </c>
      <c r="G14" t="inlineStr">
        <is>
          <t>EUR</t>
        </is>
      </c>
      <c r="H14" s="4">
        <f>B14*F14</f>
        <v/>
      </c>
    </row>
    <row r="15">
      <c r="A15" t="inlineStr">
        <is>
          <t>1. Electrónica del nodo</t>
        </is>
      </c>
      <c r="B15" t="n">
        <v>1</v>
      </c>
      <c r="C15" t="inlineStr">
        <is>
          <t>Kit 600 resistencias 1 % (30 valores: 220, 1k, 10k, 20k, 100k...)</t>
        </is>
      </c>
      <c r="D15" t="inlineStr">
        <is>
          <t>Leantec</t>
        </is>
      </c>
      <c r="E15" s="3" t="inlineStr">
        <is>
          <t>https://leantec.es/tienda/lote-kit-600-resistencias-1-4w-1-30-valores/</t>
        </is>
      </c>
      <c r="F15" s="4" t="n">
        <v>4.27</v>
      </c>
      <c r="G15" t="inlineStr">
        <is>
          <t>EUR</t>
        </is>
      </c>
      <c r="H15" s="4">
        <f>B15*F15</f>
        <v/>
      </c>
    </row>
    <row r="16">
      <c r="A16" t="inlineStr">
        <is>
          <t>1. Electrónica del nodo</t>
        </is>
      </c>
      <c r="B16" t="n">
        <v>2</v>
      </c>
      <c r="C16" t="inlineStr">
        <is>
          <t>Resistencia 22 kΩ 1 %</t>
        </is>
      </c>
      <c r="D16" t="inlineStr">
        <is>
          <t>Leantec</t>
        </is>
      </c>
      <c r="E16" s="3" t="inlineStr">
        <is>
          <t>https://leantec.es/tienda/resistencia-22-kohm-1-4w-0-25w-pelicula-metalica-1/</t>
        </is>
      </c>
      <c r="F16" s="4" t="n">
        <v>0.03</v>
      </c>
      <c r="G16" t="inlineStr">
        <is>
          <t>EUR</t>
        </is>
      </c>
      <c r="H16" s="4">
        <f>B16*F16</f>
        <v/>
      </c>
      <c r="I16" t="inlineStr">
        <is>
          <t>Divisor de la batería</t>
        </is>
      </c>
    </row>
    <row r="17">
      <c r="A17" t="inlineStr">
        <is>
          <t>1. Electrónica del nodo</t>
        </is>
      </c>
      <c r="B17" t="n">
        <v>1</v>
      </c>
      <c r="C17" t="inlineStr">
        <is>
          <t>Placa de topos doble cara 9×15 cm</t>
        </is>
      </c>
      <c r="D17" t="inlineStr">
        <is>
          <t>Tiendatec</t>
        </is>
      </c>
      <c r="E17" s="3" t="inlineStr">
        <is>
          <t>https://www.tiendatec.es/electronica/placas-de-prototipo/placas/891-placa-pcb-prototipos-doble-cara-9x15cm-8472496014496.html</t>
        </is>
      </c>
      <c r="F17" s="4" t="n">
        <v>1.85</v>
      </c>
      <c r="G17" t="inlineStr">
        <is>
          <t>EUR</t>
        </is>
      </c>
      <c r="H17" s="4">
        <f>B17*F17</f>
        <v/>
      </c>
    </row>
    <row r="18">
      <c r="A18" t="inlineStr">
        <is>
          <t>1. Electrónica del nodo</t>
        </is>
      </c>
      <c r="B18" t="n">
        <v>2</v>
      </c>
      <c r="C18" t="inlineStr">
        <is>
          <t>Tira de pines hembra 2,54 mm 40 pines</t>
        </is>
      </c>
      <c r="D18" t="inlineStr">
        <is>
          <t>Electrónica Embajadores</t>
        </is>
      </c>
      <c r="E18" s="3" t="inlineStr">
        <is>
          <t>https://www.electronicaembajadores.com/es/Productos/Detalle/CTO1HR40/</t>
        </is>
      </c>
      <c r="F18" s="4" t="n">
        <v>1.71</v>
      </c>
      <c r="G18" t="inlineStr">
        <is>
          <t>EUR</t>
        </is>
      </c>
      <c r="H18" s="4">
        <f>B18*F18</f>
        <v/>
      </c>
    </row>
    <row r="19">
      <c r="A19" t="inlineStr">
        <is>
          <t>1. Electrónica del nodo</t>
        </is>
      </c>
      <c r="B19" t="n">
        <v>2</v>
      </c>
      <c r="C19" t="inlineStr">
        <is>
          <t>Tira de pines macho 2,54 mm 40 pines</t>
        </is>
      </c>
      <c r="D19" t="inlineStr">
        <is>
          <t>Electrónica Embajadores</t>
        </is>
      </c>
      <c r="E19" s="3" t="inlineStr">
        <is>
          <t>https://www.electronicaembajadores.com/es/Productos/Detalle/CTO1MR40/</t>
        </is>
      </c>
      <c r="F19" s="4" t="n">
        <v>0.5</v>
      </c>
      <c r="G19" t="inlineStr">
        <is>
          <t>EUR</t>
        </is>
      </c>
      <c r="H19" s="4">
        <f>B19*F19</f>
        <v/>
      </c>
    </row>
    <row r="20">
      <c r="A20" t="inlineStr">
        <is>
          <t>1. Electrónica del nodo</t>
        </is>
      </c>
      <c r="B20" t="n">
        <v>6</v>
      </c>
      <c r="C20" t="inlineStr">
        <is>
          <t>Borna de tornillo PCB 5,08 mm 2 vías</t>
        </is>
      </c>
      <c r="D20" t="inlineStr">
        <is>
          <t>Electrónica Embajadores</t>
        </is>
      </c>
      <c r="E20" s="3" t="inlineStr">
        <is>
          <t>https://www.electronicaembajadores.com/es/Productos/Detalle/CTNA5102/</t>
        </is>
      </c>
      <c r="F20" s="4" t="n">
        <v>0.3</v>
      </c>
      <c r="G20" t="inlineStr">
        <is>
          <t>EUR</t>
        </is>
      </c>
      <c r="H20" s="4">
        <f>B20*F20</f>
        <v/>
      </c>
    </row>
    <row r="21">
      <c r="A21" t="inlineStr">
        <is>
          <t>1. Electrónica del nodo</t>
        </is>
      </c>
      <c r="B21" t="n">
        <v>4</v>
      </c>
      <c r="C21" t="inlineStr">
        <is>
          <t>Borna de tornillo PCB 5,08 mm 3 vías</t>
        </is>
      </c>
      <c r="D21" t="inlineStr">
        <is>
          <t>Electrónica Embajadores</t>
        </is>
      </c>
      <c r="E21" s="3" t="inlineStr">
        <is>
          <t>https://www.electronicaembajadores.com/es/Productos/Detalle/CTNA5103/</t>
        </is>
      </c>
      <c r="F21" s="4" t="n">
        <v>0.43</v>
      </c>
      <c r="G21" t="inlineStr">
        <is>
          <t>EUR</t>
        </is>
      </c>
      <c r="H21" s="4">
        <f>B21*F21</f>
        <v/>
      </c>
    </row>
    <row r="22">
      <c r="A22" t="inlineStr">
        <is>
          <t>1. Electrónica del nodo</t>
        </is>
      </c>
      <c r="B22" t="n">
        <v>1</v>
      </c>
      <c r="C22" t="inlineStr">
        <is>
          <t>Cables Gravity PH2.0 3 pines a Dupont hembra, 50 cm (10 uds) FIT0769</t>
        </is>
      </c>
      <c r="D22" t="inlineStr">
        <is>
          <t>Opencircuit</t>
        </is>
      </c>
      <c r="E22" s="3" t="inlineStr">
        <is>
          <t>https://opencircuit.es/producto/gravity-analog-sensor-cable-arduino-50cm-10</t>
        </is>
      </c>
      <c r="F22" s="4" t="n">
        <v>4.6</v>
      </c>
      <c r="G22" t="inlineStr">
        <is>
          <t>EUR</t>
        </is>
      </c>
      <c r="H22" s="4">
        <f>B22*F22</f>
        <v/>
      </c>
      <c r="I22" t="inlineStr">
        <is>
          <t>Placa de pH y aislador a los pines de la placa base. Mismo pedido que el aislador</t>
        </is>
      </c>
    </row>
    <row r="23">
      <c r="A23" t="inlineStr">
        <is>
          <t>1. Electrónica del nodo</t>
        </is>
      </c>
      <c r="B23" t="n">
        <v>1</v>
      </c>
      <c r="C23" t="inlineStr">
        <is>
          <t>Kit antena LoRaWAN 868 MHz exterior + cable IPEX-SMA</t>
        </is>
      </c>
      <c r="D23" t="inlineStr">
        <is>
          <t>Tiendatec</t>
        </is>
      </c>
      <c r="E23" s="3" t="inlineStr">
        <is>
          <t>https://www.tiendatec.es/maker-zone/comunicaciones-redes/2762-seeed-kit-antena-lorawan-para-wm1302.html</t>
        </is>
      </c>
      <c r="F23" s="4" t="n">
        <v>6.95</v>
      </c>
      <c r="G23" t="inlineStr">
        <is>
          <t>EUR</t>
        </is>
      </c>
      <c r="H23" s="4">
        <f>B23*F23</f>
        <v/>
      </c>
    </row>
    <row r="24">
      <c r="A24" t="inlineStr">
        <is>
          <t>1. Electrónica del nodo</t>
        </is>
      </c>
      <c r="B24" t="n">
        <v>1</v>
      </c>
      <c r="C24" t="inlineStr">
        <is>
          <t>Pigtail u.FL a SMA hembra de pasamuros 15 cm</t>
        </is>
      </c>
      <c r="D24" t="inlineStr">
        <is>
          <t>Electrónica Embajadores</t>
        </is>
      </c>
      <c r="E24" s="3" t="inlineStr">
        <is>
          <t>https://www.electronicaembajadores.com/es/Productos/Detalle/CXRF001/</t>
        </is>
      </c>
      <c r="F24" s="4" t="n">
        <v>5.15</v>
      </c>
      <c r="G24" t="inlineStr">
        <is>
          <t>EUR</t>
        </is>
      </c>
      <c r="H24" s="4">
        <f>B24*F24</f>
        <v/>
      </c>
      <c r="I24" t="inlineStr">
        <is>
          <t>Para sacar la antena por la pared de la caja</t>
        </is>
      </c>
    </row>
    <row r="25">
      <c r="A25" t="inlineStr">
        <is>
          <t>1. Electrónica del nodo</t>
        </is>
      </c>
      <c r="B25" t="n">
        <v>1</v>
      </c>
      <c r="C25" t="inlineStr">
        <is>
          <t>Cable USB-A a USB-C de datos 1 m</t>
        </is>
      </c>
      <c r="D25" t="inlineStr">
        <is>
          <t>Electrónica Embajadores</t>
        </is>
      </c>
      <c r="E25" s="3" t="inlineStr">
        <is>
          <t>https://www.electronicaembajadores.com/es/Productos/Detalle/CX313101/</t>
        </is>
      </c>
      <c r="F25" s="4" t="n">
        <v>5.83</v>
      </c>
      <c r="G25" t="inlineStr">
        <is>
          <t>EUR</t>
        </is>
      </c>
      <c r="H25" s="4">
        <f>B25*F25</f>
        <v/>
      </c>
      <c r="I25" t="inlineStr">
        <is>
          <t>Si la LILYGO es micro-USB, cambiarlo</t>
        </is>
      </c>
    </row>
    <row r="26">
      <c r="A26" t="inlineStr">
        <is>
          <t>2. Cajas, conectores y cableado exterior</t>
        </is>
      </c>
      <c r="B26" t="n">
        <v>1</v>
      </c>
      <c r="C26" t="inlineStr">
        <is>
          <t>Caja estanca IP66 255×250×120 mm (electrónica)</t>
        </is>
      </c>
      <c r="D26" t="inlineStr">
        <is>
          <t>Electrónica Embajadores</t>
        </is>
      </c>
      <c r="E26" s="3" t="inlineStr">
        <is>
          <t>https://www.electronicaembajadores.com/es/Productos/Detalle/CJ41G712/</t>
        </is>
      </c>
      <c r="F26" s="4" t="n">
        <v>56.55</v>
      </c>
      <c r="G26" t="inlineStr">
        <is>
          <t>EUR</t>
        </is>
      </c>
      <c r="H26" s="4">
        <f>B26*F26</f>
        <v/>
      </c>
    </row>
    <row r="27">
      <c r="A27" t="inlineStr">
        <is>
          <t>2. Cajas, conectores y cableado exterior</t>
        </is>
      </c>
      <c r="B27" t="n">
        <v>1</v>
      </c>
      <c r="C27" t="inlineStr">
        <is>
          <t>Caja estanca ABS 320×270×121 mm IP65 (batería y MPPT)</t>
        </is>
      </c>
      <c r="D27" t="inlineStr">
        <is>
          <t>Electrónica Embajadores</t>
        </is>
      </c>
      <c r="E27" s="3" t="inlineStr">
        <is>
          <t>https://www.electronicaembajadores.com/es/Productos/Detalle/CJ41D09/</t>
        </is>
      </c>
      <c r="F27" s="4" t="n">
        <v>69.03</v>
      </c>
      <c r="G27" t="inlineStr">
        <is>
          <t>EUR</t>
        </is>
      </c>
      <c r="H27" s="4">
        <f>B27*F27</f>
        <v/>
      </c>
      <c r="I27" t="inlineStr">
        <is>
          <t>La batería va tumbada; con el toldo encima, IP65 es suficiente</t>
        </is>
      </c>
    </row>
    <row r="28">
      <c r="A28" t="inlineStr">
        <is>
          <t>2. Cajas, conectores y cableado exterior</t>
        </is>
      </c>
      <c r="B28" t="n">
        <v>2</v>
      </c>
      <c r="C28" t="inlineStr">
        <is>
          <t>Tapón de ventilación M12 con membrana</t>
        </is>
      </c>
      <c r="D28" t="inlineStr">
        <is>
          <t>Amazon.es (búsqueda)</t>
        </is>
      </c>
      <c r="E28" s="3" t="inlineStr">
        <is>
          <t>https://www.amazon.es/s?k=tap%C3%B3n+ventilaci%C3%B3n+M12x1.5+IP68+membrana</t>
        </is>
      </c>
      <c r="F28" s="4" t="n"/>
      <c r="G28" t="inlineStr">
        <is>
          <t>EUR</t>
        </is>
      </c>
      <c r="H28" s="4" t="n"/>
      <c r="I28" t="inlineStr">
        <is>
          <t>SIN VERIFICAR</t>
        </is>
      </c>
    </row>
    <row r="29">
      <c r="A29" t="inlineStr">
        <is>
          <t>2. Cajas, conectores y cableado exterior</t>
        </is>
      </c>
      <c r="B29" t="n">
        <v>1</v>
      </c>
      <c r="C29" t="inlineStr">
        <is>
          <t>Conector GX16 4 pines: base macho</t>
        </is>
      </c>
      <c r="D29" t="inlineStr">
        <is>
          <t>Electrónica Embajadores</t>
        </is>
      </c>
      <c r="E29" s="3" t="inlineStr">
        <is>
          <t>https://www.electronicaembajadores.com/es/Productos/Detalle/CTEAMB4/</t>
        </is>
      </c>
      <c r="F29" s="4" t="n">
        <v>1</v>
      </c>
      <c r="G29" t="inlineStr">
        <is>
          <t>EUR</t>
        </is>
      </c>
      <c r="H29" s="4">
        <f>B29*F29</f>
        <v/>
      </c>
      <c r="I29" t="inlineStr">
        <is>
          <t>Sensor de oxígeno</t>
        </is>
      </c>
    </row>
    <row r="30">
      <c r="A30" t="inlineStr">
        <is>
          <t>2. Cajas, conectores y cableado exterior</t>
        </is>
      </c>
      <c r="B30" t="n">
        <v>1</v>
      </c>
      <c r="C30" t="inlineStr">
        <is>
          <t>Conector GX16 4 pines: aéreo hembra</t>
        </is>
      </c>
      <c r="D30" t="inlineStr">
        <is>
          <t>Electrónica Embajadores</t>
        </is>
      </c>
      <c r="E30" s="3" t="inlineStr">
        <is>
          <t>https://www.electronicaembajadores.com/es/Productos/Detalle/CTEAHA4/</t>
        </is>
      </c>
      <c r="F30" s="4" t="n">
        <v>0.9</v>
      </c>
      <c r="G30" t="inlineStr">
        <is>
          <t>EUR</t>
        </is>
      </c>
      <c r="H30" s="4">
        <f>B30*F30</f>
        <v/>
      </c>
    </row>
    <row r="31">
      <c r="A31" t="inlineStr">
        <is>
          <t>2. Cajas, conectores y cableado exterior</t>
        </is>
      </c>
      <c r="B31" t="n">
        <v>1</v>
      </c>
      <c r="C31" t="inlineStr">
        <is>
          <t>Conector GX16 2 pines: base macho</t>
        </is>
      </c>
      <c r="D31" t="inlineStr">
        <is>
          <t>Electrónica Embajadores</t>
        </is>
      </c>
      <c r="E31" s="3" t="inlineStr">
        <is>
          <t>https://www.electronicaembajadores.com/es/Productos/Detalle/CTEAMB2/</t>
        </is>
      </c>
      <c r="F31" s="4" t="n">
        <v>1.4</v>
      </c>
      <c r="G31" t="inlineStr">
        <is>
          <t>EUR</t>
        </is>
      </c>
      <c r="H31" s="4">
        <f>B31*F31</f>
        <v/>
      </c>
      <c r="I31" t="inlineStr">
        <is>
          <t>Bomba</t>
        </is>
      </c>
    </row>
    <row r="32">
      <c r="A32" t="inlineStr">
        <is>
          <t>2. Cajas, conectores y cableado exterior</t>
        </is>
      </c>
      <c r="B32" t="n">
        <v>1</v>
      </c>
      <c r="C32" t="inlineStr">
        <is>
          <t>Conector GX16 2 pines: aéreo hembra</t>
        </is>
      </c>
      <c r="D32" t="inlineStr">
        <is>
          <t>Electrónica Embajadores</t>
        </is>
      </c>
      <c r="E32" s="3" t="inlineStr">
        <is>
          <t>https://www.electronicaembajadores.com/es/Productos/Detalle/CTEAHA2/</t>
        </is>
      </c>
      <c r="F32" s="4" t="n">
        <v>1.23</v>
      </c>
      <c r="G32" t="inlineStr">
        <is>
          <t>EUR</t>
        </is>
      </c>
      <c r="H32" s="4">
        <f>B32*F32</f>
        <v/>
      </c>
    </row>
    <row r="33">
      <c r="A33" t="inlineStr">
        <is>
          <t>2. Cajas, conectores y cableado exterior</t>
        </is>
      </c>
      <c r="B33" t="n">
        <v>3</v>
      </c>
      <c r="C33" t="inlineStr">
        <is>
          <t>Conector GX16 3 pines: base macho</t>
        </is>
      </c>
      <c r="D33" t="inlineStr">
        <is>
          <t>Electrónica Embajadores</t>
        </is>
      </c>
      <c r="E33" s="3" t="inlineStr">
        <is>
          <t>https://www.electronicaembajadores.com/es/Productos/Detalle/CTEAMB3/</t>
        </is>
      </c>
      <c r="F33" s="4" t="n">
        <v>0.9399999999999999</v>
      </c>
      <c r="G33" t="inlineStr">
        <is>
          <t>EUR</t>
        </is>
      </c>
      <c r="H33" s="4">
        <f>B33*F33</f>
        <v/>
      </c>
      <c r="I33" t="inlineStr">
        <is>
          <t>Caudalímetro, presencia de agua y nivel</t>
        </is>
      </c>
    </row>
    <row r="34">
      <c r="A34" t="inlineStr">
        <is>
          <t>2. Cajas, conectores y cableado exterior</t>
        </is>
      </c>
      <c r="B34" t="n">
        <v>3</v>
      </c>
      <c r="C34" t="inlineStr">
        <is>
          <t>Conector GX16 3 pines: aéreo hembra</t>
        </is>
      </c>
      <c r="D34" t="inlineStr">
        <is>
          <t>Electrónica Embajadores</t>
        </is>
      </c>
      <c r="E34" s="3" t="inlineStr">
        <is>
          <t>https://www.electronicaembajadores.com/es/Productos/Detalle/CTEAHA3/</t>
        </is>
      </c>
      <c r="F34" s="4" t="n">
        <v>0.92</v>
      </c>
      <c r="G34" t="inlineStr">
        <is>
          <t>EUR</t>
        </is>
      </c>
      <c r="H34" s="4">
        <f>B34*F34</f>
        <v/>
      </c>
    </row>
    <row r="35">
      <c r="A35" t="inlineStr">
        <is>
          <t>2. Cajas, conectores y cableado exterior</t>
        </is>
      </c>
      <c r="B35" t="n">
        <v>1</v>
      </c>
      <c r="C35" t="inlineStr">
        <is>
          <t>Pasamuros BNC hembra-hembra</t>
        </is>
      </c>
      <c r="D35" t="inlineStr">
        <is>
          <t>Electrónica Embajadores</t>
        </is>
      </c>
      <c r="E35" s="3" t="inlineStr">
        <is>
          <t>https://www.electronicaembajadores.com/es/Productos/Detalle/CT2A703/</t>
        </is>
      </c>
      <c r="F35" s="4" t="n">
        <v>2.25</v>
      </c>
      <c r="G35" t="inlineStr">
        <is>
          <t>EUR</t>
        </is>
      </c>
      <c r="H35" s="4">
        <f>B35*F35</f>
        <v/>
      </c>
      <c r="I35" t="inlineStr">
        <is>
          <t>Sonda de pH</t>
        </is>
      </c>
    </row>
    <row r="36">
      <c r="A36" t="inlineStr">
        <is>
          <t>2. Cajas, conectores y cableado exterior</t>
        </is>
      </c>
      <c r="B36" t="n">
        <v>3</v>
      </c>
      <c r="C36" t="inlineStr">
        <is>
          <t>Prensaestopas PG9 IP68</t>
        </is>
      </c>
      <c r="D36" t="inlineStr">
        <is>
          <t>Electrónica Embajadores</t>
        </is>
      </c>
      <c r="E36" s="3" t="inlineStr">
        <is>
          <t>https://www.electronicaembajadores.com/es/Productos/Detalle/CC2APG09N/</t>
        </is>
      </c>
      <c r="F36" s="4" t="n">
        <v>0.84</v>
      </c>
      <c r="G36" t="inlineStr">
        <is>
          <t>EUR</t>
        </is>
      </c>
      <c r="H36" s="4">
        <f>B36*F36</f>
        <v/>
      </c>
    </row>
    <row r="37">
      <c r="A37" t="inlineStr">
        <is>
          <t>2. Cajas, conectores y cableado exterior</t>
        </is>
      </c>
      <c r="B37" t="n">
        <v>3</v>
      </c>
      <c r="C37" t="inlineStr">
        <is>
          <t>Prensaestopas PG11 IP68</t>
        </is>
      </c>
      <c r="D37" t="inlineStr">
        <is>
          <t>Electrónica Embajadores</t>
        </is>
      </c>
      <c r="E37" s="3" t="inlineStr">
        <is>
          <t>https://www.electronicaembajadores.com/es/Productos/Detalle/CC2APG11N/</t>
        </is>
      </c>
      <c r="F37" s="4" t="n">
        <v>0.8</v>
      </c>
      <c r="G37" t="inlineStr">
        <is>
          <t>EUR</t>
        </is>
      </c>
      <c r="H37" s="4">
        <f>B37*F37</f>
        <v/>
      </c>
    </row>
    <row r="38">
      <c r="A38" t="inlineStr">
        <is>
          <t>2. Cajas, conectores y cableado exterior</t>
        </is>
      </c>
      <c r="B38" t="n">
        <v>5</v>
      </c>
      <c r="C38" t="inlineStr">
        <is>
          <t>Manguera apantallada 4×0,5 mm² (metro)</t>
        </is>
      </c>
      <c r="D38" t="inlineStr">
        <is>
          <t>electricidad.tienda</t>
        </is>
      </c>
      <c r="E38" s="3" t="inlineStr">
        <is>
          <t>https://www.electricidad.tienda/cable-apantallado/manguera-apantallada-4x05-mm2-libre-de-halogenos-rc4z1-k-por-metros-7372.html</t>
        </is>
      </c>
      <c r="F38" s="4" t="n">
        <v>1.36</v>
      </c>
      <c r="G38" t="inlineStr">
        <is>
          <t>EUR</t>
        </is>
      </c>
      <c r="H38" s="4">
        <f>B38*F38</f>
        <v/>
      </c>
      <c r="I38" t="inlineStr">
        <is>
          <t>RS485 + 12 V del sensor de oxígeno</t>
        </is>
      </c>
    </row>
    <row r="39">
      <c r="A39" t="inlineStr">
        <is>
          <t>2. Cajas, conectores y cableado exterior</t>
        </is>
      </c>
      <c r="B39" t="n">
        <v>5</v>
      </c>
      <c r="C39" t="inlineStr">
        <is>
          <t>Manguera 3×1 mm² (metro)</t>
        </is>
      </c>
      <c r="D39" t="inlineStr">
        <is>
          <t>Electrónica Embajadores</t>
        </is>
      </c>
      <c r="E39" s="3" t="inlineStr">
        <is>
          <t>https://www.electronicaembajadores.com/es/Productos/Detalle/CA2A011/</t>
        </is>
      </c>
      <c r="F39" s="4" t="n">
        <v>1.98</v>
      </c>
      <c r="G39" t="inlineStr">
        <is>
          <t>EUR</t>
        </is>
      </c>
      <c r="H39" s="4">
        <f>B39*F39</f>
        <v/>
      </c>
      <c r="I39" t="inlineStr">
        <is>
          <t>Caudalímetro, presencia y nivel</t>
        </is>
      </c>
    </row>
    <row r="40">
      <c r="A40" t="inlineStr">
        <is>
          <t>2. Cajas, conectores y cableado exterior</t>
        </is>
      </c>
      <c r="B40" t="n">
        <v>3</v>
      </c>
      <c r="C40" t="inlineStr">
        <is>
          <t>Manguera RV-K 2×1,5 mm² exterior (metro)</t>
        </is>
      </c>
      <c r="D40" t="inlineStr">
        <is>
          <t>Electrónica Embajadores</t>
        </is>
      </c>
      <c r="E40" s="3" t="inlineStr">
        <is>
          <t>https://www.electronicaembajadores.com/es/Productos/Detalle/CA2A213/</t>
        </is>
      </c>
      <c r="F40" s="4" t="n">
        <v>1.88</v>
      </c>
      <c r="G40" t="inlineStr">
        <is>
          <t>EUR</t>
        </is>
      </c>
      <c r="H40" s="4">
        <f>B40*F40</f>
        <v/>
      </c>
      <c r="I40" t="inlineStr">
        <is>
          <t>Bomba</t>
        </is>
      </c>
    </row>
    <row r="41">
      <c r="A41" t="inlineStr">
        <is>
          <t>2. Cajas, conectores y cableado exterior</t>
        </is>
      </c>
      <c r="B41" t="n">
        <v>1</v>
      </c>
      <c r="C41" t="inlineStr">
        <is>
          <t>Barniz protector tropicalizador Jelt Tropicoat 400 ml</t>
        </is>
      </c>
      <c r="D41" t="inlineStr">
        <is>
          <t>Electrónica Embajadores</t>
        </is>
      </c>
      <c r="E41" s="3" t="inlineStr">
        <is>
          <t>https://www.electronicaembajadores.com/es/Productos/Detalle/HR11060/</t>
        </is>
      </c>
      <c r="F41" s="4" t="n">
        <v>18.85</v>
      </c>
      <c r="G41" t="inlineStr">
        <is>
          <t>EUR</t>
        </is>
      </c>
      <c r="H41" s="4">
        <f>B41*F41</f>
        <v/>
      </c>
    </row>
    <row r="42">
      <c r="A42" t="inlineStr">
        <is>
          <t>2. Cajas, conectores y cableado exterior</t>
        </is>
      </c>
      <c r="B42" t="n">
        <v>1</v>
      </c>
      <c r="C42" t="inlineStr">
        <is>
          <t>Gel de sílice, 100 bolsitas de 10 g</t>
        </is>
      </c>
      <c r="D42" t="inlineStr">
        <is>
          <t>Bolaseca</t>
        </is>
      </c>
      <c r="E42" s="3" t="inlineStr">
        <is>
          <t>https://www.bolaseca.com/es/productos/silica-gel/silica-gel-100-bolsitas-de-10-gramos</t>
        </is>
      </c>
      <c r="F42" s="4" t="n"/>
      <c r="G42" t="inlineStr">
        <is>
          <t>EUR</t>
        </is>
      </c>
      <c r="H42" s="4" t="n"/>
      <c r="I42" t="inlineStr">
        <is>
          <t>Pedir presupuesto (no muestra precio)</t>
        </is>
      </c>
    </row>
    <row r="43">
      <c r="A43" t="inlineStr">
        <is>
          <t>2. Cajas, conectores y cableado exterior</t>
        </is>
      </c>
      <c r="B43" t="n">
        <v>1</v>
      </c>
      <c r="C43" t="inlineStr">
        <is>
          <t>Candado numérico 4 dígitos</t>
        </is>
      </c>
      <c r="D43" t="inlineStr">
        <is>
          <t>Electrónica Embajadores</t>
        </is>
      </c>
      <c r="E43" s="3" t="inlineStr">
        <is>
          <t>https://www.electronicaembajadores.com/es/Productos/Detalle/SG2A101N/</t>
        </is>
      </c>
      <c r="F43" s="4" t="n">
        <v>6.78</v>
      </c>
      <c r="G43" t="inlineStr">
        <is>
          <t>EUR</t>
        </is>
      </c>
      <c r="H43" s="4">
        <f>B43*F43</f>
        <v/>
      </c>
      <c r="I43" t="inlineStr">
        <is>
          <t>Solo si la caja tiene orejetas</t>
        </is>
      </c>
    </row>
    <row r="44">
      <c r="A44" t="inlineStr">
        <is>
          <t>3. Circuito de agua y soporte de sondas</t>
        </is>
      </c>
      <c r="B44" t="n">
        <v>1</v>
      </c>
      <c r="C44" t="inlineStr">
        <is>
          <t>Bidón HDPE 60 L con tapa, gris opaco</t>
        </is>
      </c>
      <c r="D44" t="inlineStr">
        <is>
          <t>Ricardo Terán</t>
        </is>
      </c>
      <c r="E44" s="3" t="inlineStr">
        <is>
          <t>https://ricardoteransl.es/producto/bidon-gris-60-l/</t>
        </is>
      </c>
      <c r="F44" s="4" t="n">
        <v>29.5</v>
      </c>
      <c r="G44" t="inlineStr">
        <is>
          <t>EUR</t>
        </is>
      </c>
      <c r="H44" s="4">
        <f>B44*F44</f>
        <v/>
      </c>
      <c r="I44" t="inlineStr">
        <is>
          <t>COMPROBAR que la boca es ancha: las sondas se cuelgan de una pletina que cruza la boca</t>
        </is>
      </c>
    </row>
    <row r="45">
      <c r="A45" t="inlineStr">
        <is>
          <t>3. Circuito de agua y soporte de sondas</t>
        </is>
      </c>
      <c r="B45" t="n">
        <v>1</v>
      </c>
      <c r="C45" t="inlineStr">
        <is>
          <t>Bomba sumergible 12 V sin escobillas DC40A-1230 (0,8 A, 500 L/h, 3 m)</t>
        </is>
      </c>
      <c r="D45" t="inlineStr">
        <is>
          <t>Amazon.es (búsqueda)</t>
        </is>
      </c>
      <c r="E45" s="3" t="inlineStr">
        <is>
          <t>https://www.amazon.es/s?k=DC40A-1230</t>
        </is>
      </c>
      <c r="F45" s="4" t="n"/>
      <c r="G45" t="inlineStr">
        <is>
          <t>EUR</t>
        </is>
      </c>
      <c r="H45" s="4" t="n"/>
      <c r="I45" t="inlineStr">
        <is>
          <t>SIN VERIFICAR. Ficha del fabricante: https://zksj.com/product/3_phase_brushless_DC_Pump_DC40A.html . Comprobar que es la 1230 de 12 V (la 1245 gasta 1,2 A)</t>
        </is>
      </c>
    </row>
    <row r="46">
      <c r="A46" t="inlineStr">
        <is>
          <t>3. Circuito de agua y soporte de sondas</t>
        </is>
      </c>
      <c r="B46" t="n">
        <v>1</v>
      </c>
      <c r="C46" t="inlineStr">
        <is>
          <t>Filtro en Y latón 1/2" H-H, malla inox</t>
        </is>
      </c>
      <c r="D46" t="inlineStr">
        <is>
          <t>Traxco</t>
        </is>
      </c>
      <c r="E46" s="3" t="inlineStr">
        <is>
          <t>https://www.traxco.es/tienda/filtro-laton</t>
        </is>
      </c>
      <c r="F46" s="4" t="n">
        <v>3.6</v>
      </c>
      <c r="G46" t="inlineStr">
        <is>
          <t>EUR</t>
        </is>
      </c>
      <c r="H46" s="4">
        <f>B46*F46</f>
        <v/>
      </c>
      <c r="I46" t="inlineStr">
        <is>
          <t>Elegir 1/2"</t>
        </is>
      </c>
    </row>
    <row r="47">
      <c r="A47" t="inlineStr">
        <is>
          <t>3. Circuito de agua y soporte de sondas</t>
        </is>
      </c>
      <c r="B47" t="n">
        <v>1</v>
      </c>
      <c r="C47" t="inlineStr">
        <is>
          <t>Caudalímetro de efecto Hall YF-S201</t>
        </is>
      </c>
      <c r="D47" t="inlineStr">
        <is>
          <t>BricoGeek</t>
        </is>
      </c>
      <c r="E47" s="3" t="inlineStr">
        <is>
          <t>https://tienda.bricogeek.com/otros-sensores/936-sensor-de-flujo-yf-s201.html</t>
        </is>
      </c>
      <c r="F47" s="4" t="n">
        <v>4.78</v>
      </c>
      <c r="G47" t="inlineStr">
        <is>
          <t>EUR</t>
        </is>
      </c>
      <c r="H47" s="4">
        <f>B47*F47</f>
        <v/>
      </c>
    </row>
    <row r="48">
      <c r="A48" t="inlineStr">
        <is>
          <t>3. Circuito de agua y soporte de sondas</t>
        </is>
      </c>
      <c r="B48" t="n">
        <v>1</v>
      </c>
      <c r="C48" t="inlineStr">
        <is>
          <t>Válvula de esfera PVC 1/2" rosca hembra</t>
        </is>
      </c>
      <c r="D48" t="inlineStr">
        <is>
          <t>FuenteJardín (Sevilla)</t>
        </is>
      </c>
      <c r="E48" s="3" t="inlineStr">
        <is>
          <t>https://www.fuentejardin.com/valvulas-de-esfera-pvc-rh/388-valvula-de-esfera-pvc-12-rosca-hembra.html</t>
        </is>
      </c>
      <c r="F48" s="4" t="n">
        <v>7.44</v>
      </c>
      <c r="G48" t="inlineStr">
        <is>
          <t>EUR</t>
        </is>
      </c>
      <c r="H48" s="4">
        <f>B48*F48</f>
        <v/>
      </c>
    </row>
    <row r="49">
      <c r="A49" t="inlineStr">
        <is>
          <t>3. Circuito de agua y soporte de sondas</t>
        </is>
      </c>
      <c r="B49" t="n">
        <v>3</v>
      </c>
      <c r="C49" t="inlineStr">
        <is>
          <t>Manguera cristal reforzada 12×18 mm (metro)</t>
        </is>
      </c>
      <c r="D49" t="inlineStr">
        <is>
          <t>Suministros Urquiza</t>
        </is>
      </c>
      <c r="E49" s="3" t="inlineStr">
        <is>
          <t>https://www.suministrosurquiza.com/metro-manguera-cristal-reforzada</t>
        </is>
      </c>
      <c r="F49" s="4" t="n">
        <v>1.39</v>
      </c>
      <c r="G49" t="inlineStr">
        <is>
          <t>EUR</t>
        </is>
      </c>
      <c r="H49" s="4">
        <f>B49*F49</f>
        <v/>
      </c>
      <c r="I49" t="inlineStr">
        <is>
          <t>Elegir 12×18</t>
        </is>
      </c>
    </row>
    <row r="50">
      <c r="A50" t="inlineStr">
        <is>
          <t>3. Circuito de agua y soporte de sondas</t>
        </is>
      </c>
      <c r="B50" t="n">
        <v>3</v>
      </c>
      <c r="C50" t="inlineStr">
        <is>
          <t>Entronque manguera macho latón 14 mm × 1/2"</t>
        </is>
      </c>
      <c r="D50" t="inlineStr">
        <is>
          <t>FuenteJardín (Sevilla)</t>
        </is>
      </c>
      <c r="E50" s="3" t="inlineStr">
        <is>
          <t>https://www.fuentejardin.com/entronque-manguera-macho-laton/2263-entronque-manguera-macho-laton-14mmx12.html</t>
        </is>
      </c>
      <c r="F50" s="4" t="n">
        <v>4.46</v>
      </c>
      <c r="G50" t="inlineStr">
        <is>
          <t>EUR</t>
        </is>
      </c>
      <c r="H50" s="4">
        <f>B50*F50</f>
        <v/>
      </c>
    </row>
    <row r="51">
      <c r="A51" t="inlineStr">
        <is>
          <t>3. Circuito de agua y soporte de sondas</t>
        </is>
      </c>
      <c r="B51" t="n">
        <v>1</v>
      </c>
      <c r="C51" t="inlineStr">
        <is>
          <t>Racor manguera hembra latón 14 mm × 1/2"</t>
        </is>
      </c>
      <c r="D51" t="inlineStr">
        <is>
          <t>FuenteJardín (Sevilla)</t>
        </is>
      </c>
      <c r="E51" s="3" t="inlineStr">
        <is>
          <t>https://www.fuentejardin.com/racor-2-piezas-manguera-hembra/2269-racor-2-piezas-manguera-h-laton-14mmx12.html</t>
        </is>
      </c>
      <c r="F51" s="4" t="n">
        <v>2.88</v>
      </c>
      <c r="G51" t="inlineStr">
        <is>
          <t>EUR</t>
        </is>
      </c>
      <c r="H51" s="4">
        <f>B51*F51</f>
        <v/>
      </c>
    </row>
    <row r="52">
      <c r="A52" t="inlineStr">
        <is>
          <t>3. Circuito de agua y soporte de sondas</t>
        </is>
      </c>
      <c r="B52" t="n">
        <v>10</v>
      </c>
      <c r="C52" t="inlineStr">
        <is>
          <t>Abrazadera sinfín inox W4 12-22 mm</t>
        </is>
      </c>
      <c r="D52" t="inlineStr">
        <is>
          <t>Agrogomas</t>
        </is>
      </c>
      <c r="E52" s="3" t="inlineStr">
        <is>
          <t>https://agrogomasonline.com/sin-fin-inox/8279-abrazaderas-sinfin-inox-w4-12-22-l.html</t>
        </is>
      </c>
      <c r="F52" s="4" t="n">
        <v>1.45</v>
      </c>
      <c r="G52" t="inlineStr">
        <is>
          <t>EUR</t>
        </is>
      </c>
      <c r="H52" s="4">
        <f>B52*F52</f>
        <v/>
      </c>
    </row>
    <row r="53">
      <c r="A53" t="inlineStr">
        <is>
          <t>3. Circuito de agua y soporte de sondas</t>
        </is>
      </c>
      <c r="B53" t="n">
        <v>1</v>
      </c>
      <c r="C53" t="inlineStr">
        <is>
          <t>Cinta de teflón 12 m</t>
        </is>
      </c>
      <c r="D53" t="inlineStr">
        <is>
          <t>FuenteJardín (Sevilla)</t>
        </is>
      </c>
      <c r="E53" s="3" t="inlineStr">
        <is>
          <t>https://www.fuentejardin.com/cinta-de-sellado/383-cinta-de-sellado-12-mm-x-12-m-x-01-mm.html</t>
        </is>
      </c>
      <c r="F53" s="4" t="n">
        <v>0.63</v>
      </c>
      <c r="G53" t="inlineStr">
        <is>
          <t>EUR</t>
        </is>
      </c>
      <c r="H53" s="4">
        <f>B53*F53</f>
        <v/>
      </c>
    </row>
    <row r="54">
      <c r="A54" t="inlineStr">
        <is>
          <t>3. Circuito de agua y soporte de sondas</t>
        </is>
      </c>
      <c r="B54" t="n">
        <v>1</v>
      </c>
      <c r="C54" t="inlineStr">
        <is>
          <t>Pletina de aluminio 40×3 mm, barra 2,5 m</t>
        </is>
      </c>
      <c r="D54" t="inlineStr">
        <is>
          <t>Esteba</t>
        </is>
      </c>
      <c r="E54" s="3" t="inlineStr">
        <is>
          <t>https://www.esteba.com/es/perfil-pletina-plana-aluminio</t>
        </is>
      </c>
      <c r="F54" s="4" t="n">
        <v>29.27</v>
      </c>
      <c r="G54" t="inlineStr">
        <is>
          <t>EUR</t>
        </is>
      </c>
      <c r="H54" s="4">
        <f>B54*F54</f>
        <v/>
      </c>
      <c r="I54" t="inlineStr">
        <is>
          <t>Soporte de las sondas; elegir 40×3</t>
        </is>
      </c>
    </row>
    <row r="55">
      <c r="A55" t="inlineStr">
        <is>
          <t>3. Circuito de agua y soporte de sondas</t>
        </is>
      </c>
      <c r="B55" t="n">
        <v>1</v>
      </c>
      <c r="C55" t="inlineStr">
        <is>
          <t>Prensaestopas PG16 IP68 (sonda de pH)</t>
        </is>
      </c>
      <c r="D55" t="inlineStr">
        <is>
          <t>Electrónica Embajadores</t>
        </is>
      </c>
      <c r="E55" s="3" t="inlineStr">
        <is>
          <t>https://www.electronicaembajadores.com/es/Productos/Detalle/CC2APG16/</t>
        </is>
      </c>
      <c r="F55" s="4" t="n">
        <v>1</v>
      </c>
      <c r="G55" t="inlineStr">
        <is>
          <t>EUR</t>
        </is>
      </c>
      <c r="H55" s="4">
        <f>B55*F55</f>
        <v/>
      </c>
    </row>
    <row r="56">
      <c r="A56" t="inlineStr">
        <is>
          <t>3. Circuito de agua y soporte de sondas</t>
        </is>
      </c>
      <c r="B56" t="n">
        <v>3</v>
      </c>
      <c r="C56" t="inlineStr">
        <is>
          <t>Prensaestopas PG21 IP68 (sonda de oxígeno y tapa del depósito)</t>
        </is>
      </c>
      <c r="D56" t="inlineStr">
        <is>
          <t>Electrónica Embajadores</t>
        </is>
      </c>
      <c r="E56" s="3" t="inlineStr">
        <is>
          <t>https://www.electronicaembajadores.com/es/Productos/Detalle/CC2APG21/</t>
        </is>
      </c>
      <c r="F56" s="4" t="n">
        <v>1.8</v>
      </c>
      <c r="G56" t="inlineStr">
        <is>
          <t>EUR</t>
        </is>
      </c>
      <c r="H56" s="4">
        <f>B56*F56</f>
        <v/>
      </c>
      <c r="I56" t="inlineStr">
        <is>
          <t>Medir la sonda de oxígeno antes</t>
        </is>
      </c>
    </row>
    <row r="57">
      <c r="A57" t="inlineStr">
        <is>
          <t>3. Circuito de agua y soporte de sondas</t>
        </is>
      </c>
      <c r="B57" t="n">
        <v>1</v>
      </c>
      <c r="C57" t="inlineStr">
        <is>
          <t>Prensaestopas PG13,5 IP68 (cable del sensor de nivel)</t>
        </is>
      </c>
      <c r="D57" t="inlineStr">
        <is>
          <t>Electrónica Embajadores</t>
        </is>
      </c>
      <c r="E57" s="3" t="inlineStr">
        <is>
          <t>https://www.electronicaembajadores.com/es/Productos/Detalle/CC2APG13/</t>
        </is>
      </c>
      <c r="F57" s="4" t="n">
        <v>0.89</v>
      </c>
      <c r="G57" t="inlineStr">
        <is>
          <t>EUR</t>
        </is>
      </c>
      <c r="H57" s="4">
        <f>B57*F57</f>
        <v/>
      </c>
    </row>
    <row r="58">
      <c r="A58" t="inlineStr">
        <is>
          <t>3. Circuito de agua y soporte de sondas</t>
        </is>
      </c>
      <c r="B58" t="n">
        <v>8</v>
      </c>
      <c r="C58" t="inlineStr">
        <is>
          <t>Tornillo hexagonal DIN 933 inox A2 M6×30</t>
        </is>
      </c>
      <c r="D58" t="inlineStr">
        <is>
          <t>Entaban</t>
        </is>
      </c>
      <c r="E58" s="3" t="inlineStr">
        <is>
          <t>https://entaban.es/hexagonales/138-tornillo-hexagonal-din-933-inoxidable-a2.html</t>
        </is>
      </c>
      <c r="F58" s="4" t="n">
        <v>0.1</v>
      </c>
      <c r="G58" t="inlineStr">
        <is>
          <t>EUR</t>
        </is>
      </c>
      <c r="H58" s="4">
        <f>B58*F58</f>
        <v/>
      </c>
      <c r="I58" t="inlineStr">
        <is>
          <t>Precio orientativo según medida</t>
        </is>
      </c>
    </row>
    <row r="59">
      <c r="A59" t="inlineStr">
        <is>
          <t>3. Circuito de agua y soporte de sondas</t>
        </is>
      </c>
      <c r="B59" t="n">
        <v>8</v>
      </c>
      <c r="C59" t="inlineStr">
        <is>
          <t>Tuerca autoblocante DIN 985 inox A2 M6</t>
        </is>
      </c>
      <c r="D59" t="inlineStr">
        <is>
          <t>Entaban</t>
        </is>
      </c>
      <c r="E59" s="3" t="inlineStr">
        <is>
          <t>https://entaban.es/autoblocantes/164-tuerca-autoblocante-din-985-inoxidable-a2.html</t>
        </is>
      </c>
      <c r="F59" s="4" t="n">
        <v>0.07000000000000001</v>
      </c>
      <c r="G59" t="inlineStr">
        <is>
          <t>EUR</t>
        </is>
      </c>
      <c r="H59" s="4">
        <f>B59*F59</f>
        <v/>
      </c>
    </row>
    <row r="60">
      <c r="A60" t="inlineStr">
        <is>
          <t>3. Circuito de agua y soporte de sondas</t>
        </is>
      </c>
      <c r="B60" t="n">
        <v>1</v>
      </c>
      <c r="C60" t="inlineStr">
        <is>
          <t>Toldo vela HDPE 3,6×3,6 m</t>
        </is>
      </c>
      <c r="D60" t="inlineStr">
        <is>
          <t>Terralba</t>
        </is>
      </c>
      <c r="E60" s="3" t="inlineStr">
        <is>
          <t>https://terralba.es/toldos-y-sombra/5454-toldo-vela-sombra-36x36-beige-8435450468308.html</t>
        </is>
      </c>
      <c r="F60" s="4" t="n">
        <v>49.9</v>
      </c>
      <c r="G60" t="inlineStr">
        <is>
          <t>EUR</t>
        </is>
      </c>
      <c r="H60" s="4">
        <f>B60*F60</f>
        <v/>
      </c>
    </row>
    <row r="61">
      <c r="A61" t="inlineStr">
        <is>
          <t>4. Energía autónoma (panel + batería)</t>
        </is>
      </c>
      <c r="B61" t="n">
        <v>1</v>
      </c>
      <c r="C61" t="inlineStr">
        <is>
          <t>Panel solar Victron 50 W 12 V monocristalino</t>
        </is>
      </c>
      <c r="D61" t="inlineStr">
        <is>
          <t>Solarmat</t>
        </is>
      </c>
      <c r="E61" s="3" t="inlineStr">
        <is>
          <t>https://solarmat.es/es/paneles-solares-12v/panel-solar-monocristalino-12v-50w-victron.html</t>
        </is>
      </c>
      <c r="F61" s="4" t="n">
        <v>89.44</v>
      </c>
      <c r="G61" t="inlineStr">
        <is>
          <t>EUR</t>
        </is>
      </c>
      <c r="H61" s="4">
        <f>B61*F61</f>
        <v/>
      </c>
    </row>
    <row r="62">
      <c r="A62" t="inlineStr">
        <is>
          <t>4. Energía autónoma (panel + batería)</t>
        </is>
      </c>
      <c r="B62" t="n">
        <v>1</v>
      </c>
      <c r="C62" t="inlineStr">
        <is>
          <t>Estructura regulable 30-60° para panel</t>
        </is>
      </c>
      <c r="D62" t="inlineStr">
        <is>
          <t>Damia Solar</t>
        </is>
      </c>
      <c r="E62" s="3" t="inlineStr">
        <is>
          <t>https://www.damiasolar.com/estructura-para-panel-solar-regulable-30-a-60-grados.html</t>
        </is>
      </c>
      <c r="F62" s="4" t="n">
        <v>55</v>
      </c>
      <c r="G62" t="inlineStr">
        <is>
          <t>EUR</t>
        </is>
      </c>
      <c r="H62" s="4">
        <f>B62*F62</f>
        <v/>
      </c>
    </row>
    <row r="63">
      <c r="A63" t="inlineStr">
        <is>
          <t>4. Energía autónoma (panel + batería)</t>
        </is>
      </c>
      <c r="B63" t="n">
        <v>1</v>
      </c>
      <c r="C63" t="inlineStr">
        <is>
          <t>Batería LiFePO4 12,8 V 20 Ah con BMS FirstPower FPLI1220AH</t>
        </is>
      </c>
      <c r="D63" t="inlineStr">
        <is>
          <t>Andupil</t>
        </is>
      </c>
      <c r="E63" s="3" t="inlineStr">
        <is>
          <t>https://www.andupil.com/es/baterias-para-alumbrado-de-emergencia-y-senalizacion/19144-bateria-de-litio-128v-20ah-256wh-lifepo4-firstpower-fpli1220ah.html</t>
        </is>
      </c>
      <c r="F63" s="4" t="n">
        <v>134.16</v>
      </c>
      <c r="G63" t="inlineStr">
        <is>
          <t>EUR</t>
        </is>
      </c>
      <c r="H63" s="4">
        <f>B63*F63</f>
        <v/>
      </c>
      <c r="I63" t="inlineStr">
        <is>
          <t>Alternativa más barata: INNPO 20 Ah, 75 €: https://bateriasonline.com/es/baterias-litio-recargable/bateria-lifepo4-12v-20ah-innpo-baterias-litio-recargable.html</t>
        </is>
      </c>
    </row>
    <row r="64">
      <c r="A64" t="inlineStr">
        <is>
          <t>4. Energía autónoma (panel + batería)</t>
        </is>
      </c>
      <c r="B64" t="n">
        <v>1</v>
      </c>
      <c r="C64" t="inlineStr">
        <is>
          <t>Regulador Victron SmartSolar MPPT 75/10 (con salida de carga)</t>
        </is>
      </c>
      <c r="D64" t="inlineStr">
        <is>
          <t>Damia Solar</t>
        </is>
      </c>
      <c r="E64" s="3" t="inlineStr">
        <is>
          <t>https://www.damiasolar.com/regulador-victron-mppt-smartsolar-75-10.html</t>
        </is>
      </c>
      <c r="F64" s="4" t="n">
        <v>73.38</v>
      </c>
      <c r="G64" t="inlineStr">
        <is>
          <t>EUR</t>
        </is>
      </c>
      <c r="H64" s="4">
        <f>B64*F64</f>
        <v/>
      </c>
      <c r="I64" t="inlineStr">
        <is>
          <t>Autoconsumo 20 mA; corte por baja tensión configurable</t>
        </is>
      </c>
    </row>
    <row r="65">
      <c r="A65" t="inlineStr">
        <is>
          <t>4. Energía autónoma (panel + batería)</t>
        </is>
      </c>
      <c r="B65" t="n">
        <v>2</v>
      </c>
      <c r="C65" t="inlineStr">
        <is>
          <t>Portafusibles aéreo de láminas con tapa</t>
        </is>
      </c>
      <c r="D65" t="inlineStr">
        <is>
          <t>Electrónica Embajadores</t>
        </is>
      </c>
      <c r="E65" s="3" t="inlineStr">
        <is>
          <t>https://www.electronicaembajadores.com/es/Productos/Detalle/FU5A011/</t>
        </is>
      </c>
      <c r="F65" s="4" t="n">
        <v>1.53</v>
      </c>
      <c r="G65" t="inlineStr">
        <is>
          <t>EUR</t>
        </is>
      </c>
      <c r="H65" s="4">
        <f>B65*F65</f>
        <v/>
      </c>
      <c r="I65" t="inlineStr">
        <is>
          <t>Dentro de la caja</t>
        </is>
      </c>
    </row>
    <row r="66">
      <c r="A66" t="inlineStr">
        <is>
          <t>4. Energía autónoma (panel + batería)</t>
        </is>
      </c>
      <c r="B66" t="n">
        <v>4</v>
      </c>
      <c r="C66" t="inlineStr">
        <is>
          <t>Fusible de láminas 5 A</t>
        </is>
      </c>
      <c r="D66" t="inlineStr">
        <is>
          <t>Electrónica Embajadores</t>
        </is>
      </c>
      <c r="E66" s="3" t="inlineStr">
        <is>
          <t>https://www.electronicaembajadores.com/es/Productos/Detalle/FUAUM502/</t>
        </is>
      </c>
      <c r="F66" s="4" t="n">
        <v>0.2</v>
      </c>
      <c r="G66" t="inlineStr">
        <is>
          <t>EUR</t>
        </is>
      </c>
      <c r="H66" s="4">
        <f>B66*F66</f>
        <v/>
      </c>
      <c r="I66" t="inlineStr">
        <is>
          <t>2 de repuesto</t>
        </is>
      </c>
    </row>
    <row r="67">
      <c r="A67" t="inlineStr">
        <is>
          <t>4. Energía autónoma (panel + batería)</t>
        </is>
      </c>
      <c r="B67" t="n">
        <v>4</v>
      </c>
      <c r="C67" t="inlineStr">
        <is>
          <t>Fusible de láminas 3 A</t>
        </is>
      </c>
      <c r="D67" t="inlineStr">
        <is>
          <t>Electrónica Embajadores</t>
        </is>
      </c>
      <c r="E67" s="3" t="inlineStr">
        <is>
          <t>https://www.electronicaembajadores.com/es/Productos/Detalle/FUAUM302/</t>
        </is>
      </c>
      <c r="F67" s="4" t="n">
        <v>0.35</v>
      </c>
      <c r="G67" t="inlineStr">
        <is>
          <t>EUR</t>
        </is>
      </c>
      <c r="H67" s="4">
        <f>B67*F67</f>
        <v/>
      </c>
      <c r="I67" t="inlineStr">
        <is>
          <t>2 de repuesto</t>
        </is>
      </c>
    </row>
    <row r="68">
      <c r="A68" t="inlineStr">
        <is>
          <t>4. Energía autónoma (panel + batería)</t>
        </is>
      </c>
      <c r="B68" t="n">
        <v>1</v>
      </c>
      <c r="C68" t="inlineStr">
        <is>
          <t>Desconectador de baterías rotativo IP66</t>
        </is>
      </c>
      <c r="D68" t="inlineStr">
        <is>
          <t>CuencaSolar</t>
        </is>
      </c>
      <c r="E68" s="3" t="inlineStr">
        <is>
          <t>https://cuencasolar.es/producto/desconectador-de-baterias-300a/</t>
        </is>
      </c>
      <c r="F68" s="4" t="n">
        <v>57.86</v>
      </c>
      <c r="G68" t="inlineStr">
        <is>
          <t>EUR</t>
        </is>
      </c>
      <c r="H68" s="4">
        <f>B68*F68</f>
        <v/>
      </c>
      <c r="I68" t="inlineStr">
        <is>
          <t>Sobredimensionado; un interruptor de 12 V más pequeño también vale. La tienda bloquea las comprobaciones automáticas: abrir el enlace a mano</t>
        </is>
      </c>
    </row>
    <row r="69">
      <c r="A69" t="inlineStr">
        <is>
          <t>4. Energía autónoma (panel + batería)</t>
        </is>
      </c>
      <c r="B69" t="n">
        <v>10</v>
      </c>
      <c r="C69" t="inlineStr">
        <is>
          <t>Cable solar 4 mm² (metro)</t>
        </is>
      </c>
      <c r="D69" t="inlineStr">
        <is>
          <t>Solarmat</t>
        </is>
      </c>
      <c r="E69" s="3" t="inlineStr">
        <is>
          <t>https://solarmat.es/es/Cable-solar/metro-cable-solar-4mm2.html</t>
        </is>
      </c>
      <c r="F69" s="4" t="n">
        <v>2.21</v>
      </c>
      <c r="G69" t="inlineStr">
        <is>
          <t>EUR</t>
        </is>
      </c>
      <c r="H69" s="4">
        <f>B69*F69</f>
        <v/>
      </c>
      <c r="I69" t="inlineStr">
        <is>
          <t>Negro: marcar el positivo con cinta roja</t>
        </is>
      </c>
    </row>
    <row r="70">
      <c r="A70" t="inlineStr">
        <is>
          <t>4. Energía autónoma (panel + batería)</t>
        </is>
      </c>
      <c r="B70" t="n">
        <v>1</v>
      </c>
      <c r="C70" t="inlineStr">
        <is>
          <t>Par de conectores MC4</t>
        </is>
      </c>
      <c r="D70" t="inlineStr">
        <is>
          <t>Solarmat</t>
        </is>
      </c>
      <c r="E70" s="3" t="inlineStr">
        <is>
          <t>https://solarmat.es/es/Conector-solar/par-de-conectores-solares-macho-y-hembra.html</t>
        </is>
      </c>
      <c r="F70" s="4" t="n">
        <v>7.02</v>
      </c>
      <c r="G70" t="inlineStr">
        <is>
          <t>EUR</t>
        </is>
      </c>
      <c r="H70" s="4">
        <f>B70*F70</f>
        <v/>
      </c>
    </row>
    <row r="71">
      <c r="A71" t="inlineStr">
        <is>
          <t>4. Energía autónoma (panel + batería)</t>
        </is>
      </c>
      <c r="B71" t="n">
        <v>2</v>
      </c>
      <c r="C71" t="inlineStr">
        <is>
          <t>Cable 2,5 mm² rojo (metro)</t>
        </is>
      </c>
      <c r="D71" t="inlineStr">
        <is>
          <t>Electrónica Embajadores</t>
        </is>
      </c>
      <c r="E71" s="3" t="inlineStr">
        <is>
          <t>https://www.electronicaembajadores.com/en/Productos/Detalle/CA5A2PV22/</t>
        </is>
      </c>
      <c r="F71" s="4" t="n">
        <v>3.16</v>
      </c>
      <c r="G71" t="inlineStr">
        <is>
          <t>EUR</t>
        </is>
      </c>
      <c r="H71" s="4">
        <f>B71*F71</f>
        <v/>
      </c>
      <c r="I71" t="inlineStr">
        <is>
          <t>Confirmar si se vende por metro</t>
        </is>
      </c>
    </row>
    <row r="72">
      <c r="A72" t="inlineStr">
        <is>
          <t>4. Energía autónoma (panel + batería)</t>
        </is>
      </c>
      <c r="B72" t="n">
        <v>2</v>
      </c>
      <c r="C72" t="inlineStr">
        <is>
          <t>Cable 2,5 mm² negro (metro)</t>
        </is>
      </c>
      <c r="D72" t="inlineStr">
        <is>
          <t>Electrónica Embajadores</t>
        </is>
      </c>
      <c r="E72" s="3" t="inlineStr">
        <is>
          <t>https://www.electronicaembajadores.com/en/Productos/Detalle/CA5A2PV21/</t>
        </is>
      </c>
      <c r="F72" s="4" t="n">
        <v>3.16</v>
      </c>
      <c r="G72" t="inlineStr">
        <is>
          <t>EUR</t>
        </is>
      </c>
      <c r="H72" s="4">
        <f>B72*F72</f>
        <v/>
      </c>
    </row>
    <row r="73">
      <c r="A73" t="inlineStr">
        <is>
          <t>4. Energía autónoma (panel + batería)</t>
        </is>
      </c>
      <c r="B73" t="n">
        <v>1</v>
      </c>
      <c r="C73" t="inlineStr">
        <is>
          <t>Terminales de ojal 2,5 mm² M6 (25 uds)</t>
        </is>
      </c>
      <c r="D73" t="inlineStr">
        <is>
          <t>Electrónica Embajadores</t>
        </is>
      </c>
      <c r="E73" s="3" t="inlineStr">
        <is>
          <t>https://www.electronicaembajadores.com/en/Productos/Detalle/CTV1R27-25/</t>
        </is>
      </c>
      <c r="F73" s="4" t="n">
        <v>3.99</v>
      </c>
      <c r="G73" t="inlineStr">
        <is>
          <t>EUR</t>
        </is>
      </c>
      <c r="H73" s="4">
        <f>B73*F73</f>
        <v/>
      </c>
    </row>
    <row r="74">
      <c r="A74" t="inlineStr">
        <is>
          <t>4. Energía autónoma (panel + batería)</t>
        </is>
      </c>
      <c r="B74" t="n">
        <v>1</v>
      </c>
      <c r="C74" t="inlineStr">
        <is>
          <t>Punteras 2,5 mm² (100 uds)</t>
        </is>
      </c>
      <c r="D74" t="inlineStr">
        <is>
          <t>Electrónica Embajadores</t>
        </is>
      </c>
      <c r="E74" s="3" t="inlineStr">
        <is>
          <t>https://www.electronicaembajadores.com/en/Productos/Detalle/CTV1010/</t>
        </is>
      </c>
      <c r="F74" s="4" t="n">
        <v>2.39</v>
      </c>
      <c r="G74" t="inlineStr">
        <is>
          <t>EUR</t>
        </is>
      </c>
      <c r="H74" s="4">
        <f>B74*F74</f>
        <v/>
      </c>
    </row>
    <row r="75">
      <c r="A75" t="inlineStr">
        <is>
          <t>4. Energía autónoma (panel + batería)</t>
        </is>
      </c>
      <c r="B75" t="n">
        <v>1</v>
      </c>
      <c r="C75" t="inlineStr">
        <is>
          <t>Bridas negras 4,8×188 mm (100 uds)</t>
        </is>
      </c>
      <c r="D75" t="inlineStr">
        <is>
          <t>Todoeléctrico</t>
        </is>
      </c>
      <c r="E75" s="3" t="inlineStr">
        <is>
          <t>https://todoelectrico.es/es/bridas-100-ud-negra-4-8x188mm-u2244-0.html</t>
        </is>
      </c>
      <c r="F75" s="4" t="n">
        <v>6.21</v>
      </c>
      <c r="G75" t="inlineStr">
        <is>
          <t>EUR</t>
        </is>
      </c>
      <c r="H75" s="4">
        <f>B75*F75</f>
        <v/>
      </c>
    </row>
    <row r="76">
      <c r="A76" t="inlineStr">
        <is>
          <t>4. Energía autónoma (panel + batería)</t>
        </is>
      </c>
      <c r="B76" t="n">
        <v>1</v>
      </c>
      <c r="C76" t="inlineStr">
        <is>
          <t>Pica de tierra 1,5 m cobreada</t>
        </is>
      </c>
      <c r="D76" t="inlineStr">
        <is>
          <t>Bricoelige</t>
        </is>
      </c>
      <c r="E76" s="3" t="inlineStr">
        <is>
          <t>https://bricoelige.com/pica-acero-cobre-100-micras-15-metros</t>
        </is>
      </c>
      <c r="F76" s="4" t="n">
        <v>14.69</v>
      </c>
      <c r="G76" t="inlineStr">
        <is>
          <t>EUR</t>
        </is>
      </c>
      <c r="H76" s="4">
        <f>B76*F76</f>
        <v/>
      </c>
      <c r="I76" t="inlineStr">
        <is>
          <t>Solo si no hay toma de tierra cerca</t>
        </is>
      </c>
    </row>
    <row r="77">
      <c r="A77" t="inlineStr">
        <is>
          <t>4. Energía autónoma (panel + batería)</t>
        </is>
      </c>
      <c r="B77" t="n">
        <v>1</v>
      </c>
      <c r="C77" t="inlineStr">
        <is>
          <t>Grapa para pica de tierra</t>
        </is>
      </c>
      <c r="D77" t="inlineStr">
        <is>
          <t>Bricoelige</t>
        </is>
      </c>
      <c r="E77" s="3" t="inlineStr">
        <is>
          <t>https://bricoelige.com/grapa-toma-tierra-tgt142-sofamel</t>
        </is>
      </c>
      <c r="F77" s="4" t="n">
        <v>3.44</v>
      </c>
      <c r="G77" t="inlineStr">
        <is>
          <t>EUR</t>
        </is>
      </c>
      <c r="H77" s="4">
        <f>B77*F77</f>
        <v/>
      </c>
    </row>
    <row r="78">
      <c r="A78" t="inlineStr">
        <is>
          <t>4. Energía autónoma (panel + batería)</t>
        </is>
      </c>
      <c r="B78" t="n">
        <v>3</v>
      </c>
      <c r="C78" t="inlineStr">
        <is>
          <t>Cable 6 mm² para tierra (metro)</t>
        </is>
      </c>
      <c r="D78" t="inlineStr">
        <is>
          <t>Solarmat</t>
        </is>
      </c>
      <c r="E78" s="3" t="inlineStr">
        <is>
          <t>https://solarmat.es/es/Cable-solar/metro-cable-solar-6mm2.html</t>
        </is>
      </c>
      <c r="F78" s="4" t="n">
        <v>3.12</v>
      </c>
      <c r="G78" t="inlineStr">
        <is>
          <t>EUR</t>
        </is>
      </c>
      <c r="H78" s="4">
        <f>B78*F78</f>
        <v/>
      </c>
      <c r="I78" t="inlineStr">
        <is>
          <t>Marcar con cinta verde-amarilla</t>
        </is>
      </c>
    </row>
    <row r="79">
      <c r="A79" t="inlineStr">
        <is>
          <t>4. Energía autónoma (panel + batería)</t>
        </is>
      </c>
      <c r="B79" t="n">
        <v>1</v>
      </c>
      <c r="C79" t="inlineStr">
        <is>
          <t>Terminales de ojal 6 mm² (25 uds)</t>
        </is>
      </c>
      <c r="D79" t="inlineStr">
        <is>
          <t>Electrónica Embajadores</t>
        </is>
      </c>
      <c r="E79" s="3" t="inlineStr">
        <is>
          <t>https://www.electronicaembajadores.com/es/Productos/Detalle/CTV1R45-25/</t>
        </is>
      </c>
      <c r="F79" s="4" t="n">
        <v>5.9</v>
      </c>
      <c r="G79" t="inlineStr">
        <is>
          <t>EUR</t>
        </is>
      </c>
      <c r="H79" s="4">
        <f>B79*F79</f>
        <v/>
      </c>
    </row>
    <row r="80">
      <c r="A80" t="inlineStr">
        <is>
          <t>5. Raspberry Pi 5 y red</t>
        </is>
      </c>
      <c r="B80" t="n">
        <v>1</v>
      </c>
      <c r="C80" t="inlineStr">
        <is>
          <t>Batería RTC oficial Raspberry Pi 5</t>
        </is>
      </c>
      <c r="D80" t="inlineStr">
        <is>
          <t>Kubii</t>
        </is>
      </c>
      <c r="E80" s="3" t="inlineStr">
        <is>
          <t>https://www.kubii.com/es/baterias-pilas/4110-bateria-rtc-para-raspberry-pi-5-5056561803739.html</t>
        </is>
      </c>
      <c r="F80" s="4" t="n">
        <v>6</v>
      </c>
      <c r="G80" t="inlineStr">
        <is>
          <t>EUR</t>
        </is>
      </c>
      <c r="H80" s="4">
        <f>B80*F80</f>
        <v/>
      </c>
    </row>
    <row r="81">
      <c r="A81" t="inlineStr">
        <is>
          <t>5. Raspberry Pi 5 y red</t>
        </is>
      </c>
      <c r="B81" t="n">
        <v>1</v>
      </c>
      <c r="C81" t="inlineStr">
        <is>
          <t>Fuente oficial Raspberry Pi 27 W USB-C</t>
        </is>
      </c>
      <c r="D81" t="inlineStr">
        <is>
          <t>Kubii</t>
        </is>
      </c>
      <c r="E81" s="3" t="inlineStr">
        <is>
          <t>https://www.kubii.com/es/fuentes-de-alimentacion/4107-1890-fuente-de-alimentacion-raspberry-pi-27w-usb-c-3272496315761.html</t>
        </is>
      </c>
      <c r="F81" s="4" t="n">
        <v>12.9</v>
      </c>
      <c r="G81" t="inlineStr">
        <is>
          <t>EUR</t>
        </is>
      </c>
      <c r="H81" s="4">
        <f>B81*F81</f>
        <v/>
      </c>
    </row>
    <row r="82">
      <c r="A82" t="inlineStr">
        <is>
          <t>5. Raspberry Pi 5 y red</t>
        </is>
      </c>
      <c r="B82" t="n">
        <v>1</v>
      </c>
      <c r="C82" t="inlineStr">
        <is>
          <t>Active Cooler oficial Raspberry Pi 5</t>
        </is>
      </c>
      <c r="D82" t="inlineStr">
        <is>
          <t>Kubii</t>
        </is>
      </c>
      <c r="E82" s="3" t="inlineStr">
        <is>
          <t>https://www.kubii.com/es/ventiladores-disipadores-de-calor/4109-ventilador-disipador-para-raspberry-pi-5-5056561803357.html</t>
        </is>
      </c>
      <c r="F82" s="4" t="n">
        <v>6</v>
      </c>
      <c r="G82" t="inlineStr">
        <is>
          <t>EUR</t>
        </is>
      </c>
      <c r="H82" s="4">
        <f>B82*F82</f>
        <v/>
      </c>
    </row>
    <row r="83">
      <c r="A83" t="inlineStr">
        <is>
          <t>5. Raspberry Pi 5 y red</t>
        </is>
      </c>
      <c r="B83" t="n">
        <v>2</v>
      </c>
      <c r="C83" t="inlineStr">
        <is>
          <t>Latiguillo UTP Cat6 1 m</t>
        </is>
      </c>
      <c r="D83" t="inlineStr">
        <is>
          <t>Electrónica Embajadores</t>
        </is>
      </c>
      <c r="E83" s="3" t="inlineStr">
        <is>
          <t>https://www.electronicaembajadores.com/es/Productos/Detalle/CX3A601/</t>
        </is>
      </c>
      <c r="F83" s="4" t="n">
        <v>1.38</v>
      </c>
      <c r="G83" t="inlineStr">
        <is>
          <t>EUR</t>
        </is>
      </c>
      <c r="H83" s="4">
        <f>B83*F83</f>
        <v/>
      </c>
      <c r="I83" t="inlineStr">
        <is>
          <t>Raspberry → switch (VLAN 500) e inyector PoE → switch</t>
        </is>
      </c>
    </row>
    <row r="84">
      <c r="A84" t="inlineStr">
        <is>
          <t>5. Raspberry Pi 5 y red</t>
        </is>
      </c>
      <c r="B84" t="n">
        <v>1</v>
      </c>
      <c r="C84" t="inlineStr">
        <is>
          <t>SAI Salicru SPS 500 ONE v2 (opcional)</t>
        </is>
      </c>
      <c r="D84" t="inlineStr">
        <is>
          <t>Discoazul</t>
        </is>
      </c>
      <c r="E84" s="3" t="inlineStr">
        <is>
          <t>https://www.discoazul.com/sai-linea-interactiva-salicru-sps-500-one-v2-500va-240w-2-schuko.html</t>
        </is>
      </c>
      <c r="F84" s="4" t="n">
        <v>63.99</v>
      </c>
      <c r="G84" t="inlineStr">
        <is>
          <t>EUR</t>
        </is>
      </c>
      <c r="H84" s="4">
        <f>B84*F84</f>
        <v/>
      </c>
      <c r="I84" t="inlineStr">
        <is>
          <t>Opcional</t>
        </is>
      </c>
    </row>
    <row r="85">
      <c r="A85" t="inlineStr">
        <is>
          <t>6. Calibración y medida</t>
        </is>
      </c>
      <c r="B85" t="n">
        <v>1</v>
      </c>
      <c r="C85" t="inlineStr">
        <is>
          <t>Solución tampón pH 4,01 Hanna 230 ml</t>
        </is>
      </c>
      <c r="D85" t="inlineStr">
        <is>
          <t>Hanna Instruments</t>
        </is>
      </c>
      <c r="E85" s="3" t="inlineStr">
        <is>
          <t>https://www.hannainst.es/parametros/5096-solucion-tampon-ph-401.html</t>
        </is>
      </c>
      <c r="F85" s="4" t="n">
        <v>12.1</v>
      </c>
      <c r="G85" t="inlineStr">
        <is>
          <t>EUR</t>
        </is>
      </c>
      <c r="H85" s="4">
        <f>B85*F85</f>
        <v/>
      </c>
    </row>
    <row r="86">
      <c r="A86" t="inlineStr">
        <is>
          <t>6. Calibración y medida</t>
        </is>
      </c>
      <c r="B86" t="n">
        <v>1</v>
      </c>
      <c r="C86" t="inlineStr">
        <is>
          <t>Solución tampón pH 7,01 Hanna 230 ml</t>
        </is>
      </c>
      <c r="D86" t="inlineStr">
        <is>
          <t>Hanna Instruments</t>
        </is>
      </c>
      <c r="E86" s="3" t="inlineStr">
        <is>
          <t>https://www.hannainst.es/parametros/5099-solucion-tampon-ph-701.html</t>
        </is>
      </c>
      <c r="F86" s="4" t="n">
        <v>12.1</v>
      </c>
      <c r="G86" t="inlineStr">
        <is>
          <t>EUR</t>
        </is>
      </c>
      <c r="H86" s="4">
        <f>B86*F86</f>
        <v/>
      </c>
    </row>
    <row r="87">
      <c r="A87" t="inlineStr">
        <is>
          <t>6. Calibración y medida</t>
        </is>
      </c>
      <c r="B87" t="n">
        <v>1</v>
      </c>
      <c r="C87" t="inlineStr">
        <is>
          <t>Solución tampón pH 10,01 Hanna 230 ml</t>
        </is>
      </c>
      <c r="D87" t="inlineStr">
        <is>
          <t>Hanna Instruments</t>
        </is>
      </c>
      <c r="E87" s="3" t="inlineStr">
        <is>
          <t>https://www.hannainst.es/parametros/5095-solucion-tampon-ph-1001.html</t>
        </is>
      </c>
      <c r="F87" s="4" t="n">
        <v>12.1</v>
      </c>
      <c r="G87" t="inlineStr">
        <is>
          <t>EUR</t>
        </is>
      </c>
      <c r="H87" s="4">
        <f>B87*F87</f>
        <v/>
      </c>
    </row>
    <row r="88">
      <c r="A88" t="inlineStr">
        <is>
          <t>6. Calibración y medida</t>
        </is>
      </c>
      <c r="B88" t="n">
        <v>1</v>
      </c>
      <c r="C88" t="inlineStr">
        <is>
          <t>Solución de almacenamiento de electrodos Hanna 230 ml</t>
        </is>
      </c>
      <c r="D88" t="inlineStr">
        <is>
          <t>Hanna Instruments</t>
        </is>
      </c>
      <c r="E88" s="3" t="inlineStr">
        <is>
          <t>https://www.hannainst.es/parametros/4974-solucion-almacenamiento-electrodos.html</t>
        </is>
      </c>
      <c r="F88" s="4" t="n">
        <v>21.78</v>
      </c>
      <c r="G88" t="inlineStr">
        <is>
          <t>EUR</t>
        </is>
      </c>
      <c r="H88" s="4">
        <f>B88*F88</f>
        <v/>
      </c>
    </row>
    <row r="89">
      <c r="A89" t="inlineStr">
        <is>
          <t>6. Calibración y medida</t>
        </is>
      </c>
      <c r="B89" t="n">
        <v>3</v>
      </c>
      <c r="C89" t="inlineStr">
        <is>
          <t>Vaso de precipitado 100 ml borosilicato</t>
        </is>
      </c>
      <c r="D89" t="inlineStr">
        <is>
          <t>Daselab</t>
        </is>
      </c>
      <c r="E89" s="3" t="inlineStr">
        <is>
          <t>https://www.daselab.es/vasos-de-vidrio/198-vaso-precipitado-forma-baja-100-ml.html</t>
        </is>
      </c>
      <c r="F89" s="4" t="n">
        <v>1.45</v>
      </c>
      <c r="G89" t="inlineStr">
        <is>
          <t>EUR</t>
        </is>
      </c>
      <c r="H89" s="4">
        <f>B89*F89</f>
        <v/>
      </c>
    </row>
    <row r="90">
      <c r="A90" t="inlineStr">
        <is>
          <t>6. Calibración y medida</t>
        </is>
      </c>
      <c r="B90" t="n">
        <v>1</v>
      </c>
      <c r="C90" t="inlineStr">
        <is>
          <t>Escobillón nº 40 (limpiar sondas)</t>
        </is>
      </c>
      <c r="D90" t="inlineStr">
        <is>
          <t>Daselab</t>
        </is>
      </c>
      <c r="E90" s="3" t="inlineStr">
        <is>
          <t>https://www.daselab.es/labware/3156-escobillon-n-40-ptubos-medianos.html</t>
        </is>
      </c>
      <c r="F90" s="4" t="n">
        <v>1.4</v>
      </c>
      <c r="G90" t="inlineStr">
        <is>
          <t>EUR</t>
        </is>
      </c>
      <c r="H90" s="4">
        <f>B90*F90</f>
        <v/>
      </c>
    </row>
    <row r="91">
      <c r="A91" t="inlineStr">
        <is>
          <t>6. Calibración y medida</t>
        </is>
      </c>
      <c r="B91" t="n">
        <v>1</v>
      </c>
      <c r="C91" t="inlineStr">
        <is>
          <t>Vatímetro DC jOY-it COM-VAO10020</t>
        </is>
      </c>
      <c r="D91" t="inlineStr">
        <is>
          <t>Electrónica Embajadores</t>
        </is>
      </c>
      <c r="E91" s="3" t="inlineStr">
        <is>
          <t>https://www.electronicaembajadores.com/es/Productos/Detalle/IPDDAM5/</t>
        </is>
      </c>
      <c r="F91" s="4" t="n">
        <v>14.9</v>
      </c>
      <c r="G91" t="inlineStr">
        <is>
          <t>EUR</t>
        </is>
      </c>
      <c r="H91" s="4">
        <f>B91*F91</f>
        <v/>
      </c>
      <c r="I91" t="inlineStr">
        <is>
          <t>Medir consumos en la fase 6</t>
        </is>
      </c>
    </row>
    <row r="92">
      <c r="A92" t="inlineStr">
        <is>
          <t>6. Calibración y medida</t>
        </is>
      </c>
      <c r="B92" t="n">
        <v>1</v>
      </c>
      <c r="C92" t="inlineStr">
        <is>
          <t>Agua destilada (garrafa 5 L)</t>
        </is>
      </c>
      <c r="D92" t="inlineStr">
        <is>
          <t>Supermercado o ferretería</t>
        </is>
      </c>
      <c r="F92" s="4" t="n"/>
      <c r="G92" t="inlineStr">
        <is>
          <t>EUR</t>
        </is>
      </c>
      <c r="H92" s="4" t="n"/>
      <c r="I92" t="inlineStr">
        <is>
          <t>Compra local, unos 2 €</t>
        </is>
      </c>
    </row>
    <row r="93"/>
    <row r="94">
      <c r="G94" s="5" t="inlineStr">
        <is>
          <t>Total €</t>
        </is>
      </c>
      <c r="H94" s="5">
        <f>SUMIF(G5:G92,"EUR",H5:H92)</f>
        <v/>
      </c>
    </row>
  </sheetData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  <hyperlink xmlns:r="http://schemas.openxmlformats.org/officeDocument/2006/relationships" ref="E19" r:id="rId15"/>
    <hyperlink xmlns:r="http://schemas.openxmlformats.org/officeDocument/2006/relationships" ref="E20" r:id="rId16"/>
    <hyperlink xmlns:r="http://schemas.openxmlformats.org/officeDocument/2006/relationships" ref="E21" r:id="rId17"/>
    <hyperlink xmlns:r="http://schemas.openxmlformats.org/officeDocument/2006/relationships" ref="E22" r:id="rId18"/>
    <hyperlink xmlns:r="http://schemas.openxmlformats.org/officeDocument/2006/relationships" ref="E23" r:id="rId19"/>
    <hyperlink xmlns:r="http://schemas.openxmlformats.org/officeDocument/2006/relationships" ref="E24" r:id="rId20"/>
    <hyperlink xmlns:r="http://schemas.openxmlformats.org/officeDocument/2006/relationships" ref="E25" r:id="rId21"/>
    <hyperlink xmlns:r="http://schemas.openxmlformats.org/officeDocument/2006/relationships" ref="E26" r:id="rId22"/>
    <hyperlink xmlns:r="http://schemas.openxmlformats.org/officeDocument/2006/relationships" ref="E27" r:id="rId23"/>
    <hyperlink xmlns:r="http://schemas.openxmlformats.org/officeDocument/2006/relationships" ref="E28" r:id="rId24"/>
    <hyperlink xmlns:r="http://schemas.openxmlformats.org/officeDocument/2006/relationships" ref="E29" r:id="rId25"/>
    <hyperlink xmlns:r="http://schemas.openxmlformats.org/officeDocument/2006/relationships" ref="E30" r:id="rId26"/>
    <hyperlink xmlns:r="http://schemas.openxmlformats.org/officeDocument/2006/relationships" ref="E31" r:id="rId27"/>
    <hyperlink xmlns:r="http://schemas.openxmlformats.org/officeDocument/2006/relationships" ref="E32" r:id="rId28"/>
    <hyperlink xmlns:r="http://schemas.openxmlformats.org/officeDocument/2006/relationships" ref="E33" r:id="rId29"/>
    <hyperlink xmlns:r="http://schemas.openxmlformats.org/officeDocument/2006/relationships" ref="E34" r:id="rId30"/>
    <hyperlink xmlns:r="http://schemas.openxmlformats.org/officeDocument/2006/relationships" ref="E35" r:id="rId31"/>
    <hyperlink xmlns:r="http://schemas.openxmlformats.org/officeDocument/2006/relationships" ref="E36" r:id="rId32"/>
    <hyperlink xmlns:r="http://schemas.openxmlformats.org/officeDocument/2006/relationships" ref="E37" r:id="rId33"/>
    <hyperlink xmlns:r="http://schemas.openxmlformats.org/officeDocument/2006/relationships" ref="E38" r:id="rId34"/>
    <hyperlink xmlns:r="http://schemas.openxmlformats.org/officeDocument/2006/relationships" ref="E39" r:id="rId35"/>
    <hyperlink xmlns:r="http://schemas.openxmlformats.org/officeDocument/2006/relationships" ref="E40" r:id="rId36"/>
    <hyperlink xmlns:r="http://schemas.openxmlformats.org/officeDocument/2006/relationships" ref="E41" r:id="rId37"/>
    <hyperlink xmlns:r="http://schemas.openxmlformats.org/officeDocument/2006/relationships" ref="E42" r:id="rId38"/>
    <hyperlink xmlns:r="http://schemas.openxmlformats.org/officeDocument/2006/relationships" ref="E43" r:id="rId39"/>
    <hyperlink xmlns:r="http://schemas.openxmlformats.org/officeDocument/2006/relationships" ref="E44" r:id="rId40"/>
    <hyperlink xmlns:r="http://schemas.openxmlformats.org/officeDocument/2006/relationships" ref="E45" r:id="rId41"/>
    <hyperlink xmlns:r="http://schemas.openxmlformats.org/officeDocument/2006/relationships" ref="E46" r:id="rId42"/>
    <hyperlink xmlns:r="http://schemas.openxmlformats.org/officeDocument/2006/relationships" ref="E47" r:id="rId43"/>
    <hyperlink xmlns:r="http://schemas.openxmlformats.org/officeDocument/2006/relationships" ref="E48" r:id="rId44"/>
    <hyperlink xmlns:r="http://schemas.openxmlformats.org/officeDocument/2006/relationships" ref="E49" r:id="rId45"/>
    <hyperlink xmlns:r="http://schemas.openxmlformats.org/officeDocument/2006/relationships" ref="E50" r:id="rId46"/>
    <hyperlink xmlns:r="http://schemas.openxmlformats.org/officeDocument/2006/relationships" ref="E51" r:id="rId47"/>
    <hyperlink xmlns:r="http://schemas.openxmlformats.org/officeDocument/2006/relationships" ref="E52" r:id="rId48"/>
    <hyperlink xmlns:r="http://schemas.openxmlformats.org/officeDocument/2006/relationships" ref="E53" r:id="rId49"/>
    <hyperlink xmlns:r="http://schemas.openxmlformats.org/officeDocument/2006/relationships" ref="E54" r:id="rId50"/>
    <hyperlink xmlns:r="http://schemas.openxmlformats.org/officeDocument/2006/relationships" ref="E55" r:id="rId51"/>
    <hyperlink xmlns:r="http://schemas.openxmlformats.org/officeDocument/2006/relationships" ref="E56" r:id="rId52"/>
    <hyperlink xmlns:r="http://schemas.openxmlformats.org/officeDocument/2006/relationships" ref="E57" r:id="rId53"/>
    <hyperlink xmlns:r="http://schemas.openxmlformats.org/officeDocument/2006/relationships" ref="E58" r:id="rId54"/>
    <hyperlink xmlns:r="http://schemas.openxmlformats.org/officeDocument/2006/relationships" ref="E59" r:id="rId55"/>
    <hyperlink xmlns:r="http://schemas.openxmlformats.org/officeDocument/2006/relationships" ref="E60" r:id="rId56"/>
    <hyperlink xmlns:r="http://schemas.openxmlformats.org/officeDocument/2006/relationships" ref="E61" r:id="rId57"/>
    <hyperlink xmlns:r="http://schemas.openxmlformats.org/officeDocument/2006/relationships" ref="E62" r:id="rId58"/>
    <hyperlink xmlns:r="http://schemas.openxmlformats.org/officeDocument/2006/relationships" ref="E63" r:id="rId59"/>
    <hyperlink xmlns:r="http://schemas.openxmlformats.org/officeDocument/2006/relationships" ref="E64" r:id="rId60"/>
    <hyperlink xmlns:r="http://schemas.openxmlformats.org/officeDocument/2006/relationships" ref="E65" r:id="rId61"/>
    <hyperlink xmlns:r="http://schemas.openxmlformats.org/officeDocument/2006/relationships" ref="E66" r:id="rId62"/>
    <hyperlink xmlns:r="http://schemas.openxmlformats.org/officeDocument/2006/relationships" ref="E67" r:id="rId63"/>
    <hyperlink xmlns:r="http://schemas.openxmlformats.org/officeDocument/2006/relationships" ref="E68" r:id="rId64"/>
    <hyperlink xmlns:r="http://schemas.openxmlformats.org/officeDocument/2006/relationships" ref="E69" r:id="rId65"/>
    <hyperlink xmlns:r="http://schemas.openxmlformats.org/officeDocument/2006/relationships" ref="E70" r:id="rId66"/>
    <hyperlink xmlns:r="http://schemas.openxmlformats.org/officeDocument/2006/relationships" ref="E71" r:id="rId67"/>
    <hyperlink xmlns:r="http://schemas.openxmlformats.org/officeDocument/2006/relationships" ref="E72" r:id="rId68"/>
    <hyperlink xmlns:r="http://schemas.openxmlformats.org/officeDocument/2006/relationships" ref="E73" r:id="rId69"/>
    <hyperlink xmlns:r="http://schemas.openxmlformats.org/officeDocument/2006/relationships" ref="E74" r:id="rId70"/>
    <hyperlink xmlns:r="http://schemas.openxmlformats.org/officeDocument/2006/relationships" ref="E75" r:id="rId71"/>
    <hyperlink xmlns:r="http://schemas.openxmlformats.org/officeDocument/2006/relationships" ref="E76" r:id="rId72"/>
    <hyperlink xmlns:r="http://schemas.openxmlformats.org/officeDocument/2006/relationships" ref="E77" r:id="rId73"/>
    <hyperlink xmlns:r="http://schemas.openxmlformats.org/officeDocument/2006/relationships" ref="E78" r:id="rId74"/>
    <hyperlink xmlns:r="http://schemas.openxmlformats.org/officeDocument/2006/relationships" ref="E79" r:id="rId75"/>
    <hyperlink xmlns:r="http://schemas.openxmlformats.org/officeDocument/2006/relationships" ref="E80" r:id="rId76"/>
    <hyperlink xmlns:r="http://schemas.openxmlformats.org/officeDocument/2006/relationships" ref="E81" r:id="rId77"/>
    <hyperlink xmlns:r="http://schemas.openxmlformats.org/officeDocument/2006/relationships" ref="E82" r:id="rId78"/>
    <hyperlink xmlns:r="http://schemas.openxmlformats.org/officeDocument/2006/relationships" ref="E84" r:id="rId79"/>
    <hyperlink xmlns:r="http://schemas.openxmlformats.org/officeDocument/2006/relationships" ref="E85" r:id="rId80"/>
    <hyperlink xmlns:r="http://schemas.openxmlformats.org/officeDocument/2006/relationships" ref="E86" r:id="rId81"/>
    <hyperlink xmlns:r="http://schemas.openxmlformats.org/officeDocument/2006/relationships" ref="E87" r:id="rId82"/>
    <hyperlink xmlns:r="http://schemas.openxmlformats.org/officeDocument/2006/relationships" ref="E88" r:id="rId83"/>
    <hyperlink xmlns:r="http://schemas.openxmlformats.org/officeDocument/2006/relationships" ref="E89" r:id="rId84"/>
    <hyperlink xmlns:r="http://schemas.openxmlformats.org/officeDocument/2006/relationships" ref="E90" r:id="rId85"/>
    <hyperlink xmlns:r="http://schemas.openxmlformats.org/officeDocument/2006/relationships" ref="E91" r:id="rId86"/>
    <hyperlink xmlns:r="http://schemas.openxmlformats.org/officeDocument/2006/relationships" ref="E92" r:id="rId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2026-09-30T06:26:08Z</dcterms:created>
  <dcterms:modified xmlns:dcterms="http://purl.org/dc/terms/" xmlns:xsi="http://www.w3.org/2001/XMLSchema-instance" xsi:type="dcterms:W3CDTF">2026-10-23T11:05:23Z</dcterms:modified>
</cp:coreProperties>
</file>